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hs\Auto\DA projects\Supply Chain test\xlconfigs\"/>
    </mc:Choice>
  </mc:AlternateContent>
  <xr:revisionPtr revIDLastSave="0" documentId="13_ncr:1_{BF5A53E7-991E-4071-B611-AAA7BA636B8D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Master_List" sheetId="1" r:id="rId1"/>
    <sheet name="Product_Forecast" sheetId="2" r:id="rId2"/>
    <sheet name="POL_Matrix" sheetId="3" r:id="rId3"/>
    <sheet name="Operation_Metrics" sheetId="4" r:id="rId4"/>
    <sheet name="Last_MIP" sheetId="5" r:id="rId5"/>
    <sheet name="Line_Config" sheetId="6" r:id="rId6"/>
    <sheet name="Product_Config" sheetId="7" state="hidden" r:id="rId7"/>
  </sheets>
  <functionGroups builtInGroupCount="19"/>
  <externalReferences>
    <externalReference r:id="rId8"/>
    <externalReference r:id="rId9"/>
  </externalReferences>
  <calcPr calcId="191029"/>
</workbook>
</file>

<file path=xl/calcChain.xml><?xml version="1.0" encoding="utf-8"?>
<calcChain xmlns="http://schemas.openxmlformats.org/spreadsheetml/2006/main">
  <c r="B10" i="7" l="1"/>
  <c r="B9" i="7"/>
  <c r="B8" i="7"/>
  <c r="B7" i="7"/>
  <c r="B6" i="7"/>
  <c r="B5" i="7"/>
  <c r="B4" i="7"/>
  <c r="B3" i="7"/>
  <c r="B2" i="7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G4" i="4"/>
  <c r="F4" i="4"/>
  <c r="E4" i="4"/>
  <c r="D4" i="4"/>
  <c r="C4" i="4"/>
  <c r="B4" i="4"/>
  <c r="F3" i="4"/>
  <c r="F5" i="4" s="1"/>
  <c r="F6" i="4" s="1"/>
  <c r="E3" i="4"/>
  <c r="E5" i="4" s="1"/>
  <c r="E6" i="4" s="1"/>
  <c r="G2" i="4"/>
  <c r="G3" i="4" s="1"/>
  <c r="G5" i="4" s="1"/>
  <c r="G6" i="4" s="1"/>
  <c r="F2" i="4"/>
  <c r="E2" i="4"/>
  <c r="D2" i="4"/>
  <c r="D3" i="4" s="1"/>
  <c r="D5" i="4" s="1"/>
  <c r="D6" i="4" s="1"/>
  <c r="C2" i="4"/>
  <c r="C3" i="4" s="1"/>
  <c r="C5" i="4" s="1"/>
  <c r="C6" i="4" s="1"/>
  <c r="B2" i="4"/>
  <c r="B3" i="4" s="1"/>
  <c r="B5" i="4" s="1"/>
  <c r="B6" i="4" s="1"/>
  <c r="C10" i="7"/>
  <c r="C2" i="7"/>
  <c r="C9" i="7"/>
  <c r="C8" i="7"/>
  <c r="C3" i="7"/>
  <c r="C7" i="7"/>
  <c r="C6" i="7"/>
  <c r="C5" i="7"/>
  <c r="C4" i="7"/>
</calcChain>
</file>

<file path=xl/sharedStrings.xml><?xml version="1.0" encoding="utf-8"?>
<sst xmlns="http://schemas.openxmlformats.org/spreadsheetml/2006/main" count="163" uniqueCount="50">
  <si>
    <t>Product_List</t>
  </si>
  <si>
    <t>Production_Lines</t>
  </si>
  <si>
    <t>A</t>
  </si>
  <si>
    <t>Pri1</t>
  </si>
  <si>
    <t>B</t>
  </si>
  <si>
    <t>Pri2</t>
  </si>
  <si>
    <t>C</t>
  </si>
  <si>
    <t>Cut1</t>
  </si>
  <si>
    <t>D</t>
  </si>
  <si>
    <t>Cut2</t>
  </si>
  <si>
    <t>E</t>
  </si>
  <si>
    <t>Cut3</t>
  </si>
  <si>
    <t>F</t>
  </si>
  <si>
    <t>Man1</t>
  </si>
  <si>
    <t>G</t>
  </si>
  <si>
    <t>Man2</t>
  </si>
  <si>
    <t>H</t>
  </si>
  <si>
    <t>Man3</t>
  </si>
  <si>
    <t>I</t>
  </si>
  <si>
    <t>Sew1</t>
  </si>
  <si>
    <t>Sew2</t>
  </si>
  <si>
    <t>Sew3</t>
  </si>
  <si>
    <t>Sew4</t>
  </si>
  <si>
    <t>QaC1</t>
  </si>
  <si>
    <t>QaC2</t>
  </si>
  <si>
    <t>QaC3</t>
  </si>
  <si>
    <t>Pac1</t>
  </si>
  <si>
    <t>Forecast_Amount</t>
  </si>
  <si>
    <t>Profit_Per_Product</t>
  </si>
  <si>
    <t>Solved_Regular</t>
  </si>
  <si>
    <t>For_OT</t>
  </si>
  <si>
    <t>Pri</t>
  </si>
  <si>
    <t>Cut</t>
  </si>
  <si>
    <t>Man</t>
  </si>
  <si>
    <t>Sew</t>
  </si>
  <si>
    <t>QaC</t>
  </si>
  <si>
    <t>Pac</t>
  </si>
  <si>
    <t>Operations</t>
  </si>
  <si>
    <t>Total Work time (ms)/person</t>
  </si>
  <si>
    <t>Total Work time (hr)/person</t>
  </si>
  <si>
    <t>Number of labors</t>
  </si>
  <si>
    <t>Total Work time (hr)/process</t>
  </si>
  <si>
    <t>Total Work time (d)/process</t>
  </si>
  <si>
    <t>As_Of_Date</t>
  </si>
  <si>
    <t>Process</t>
  </si>
  <si>
    <t>WIP_Units</t>
  </si>
  <si>
    <t>Production_Line</t>
  </si>
  <si>
    <t>Minimum_Input</t>
  </si>
  <si>
    <t>Col</t>
  </si>
  <si>
    <t>Input_Price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</si>
</sst>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2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1" fillId="2" borderId="1" xfId="0" quotePrefix="1" applyNumberFormat="1" applyFont="1" applyFill="1" applyBorder="1" applyAlignment="1">
      <alignment horizontal="center" vertical="center"/>
    </xf>
    <xf numFmtId="14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ift_Data"/>
      <sheetName val="Expanded_Details"/>
      <sheetName val="Work_Off"/>
      <sheetName val="OT_Off"/>
      <sheetName val="Work_Total"/>
      <sheetName val="OT_Total"/>
    </sheetNames>
    <sheetDataSet>
      <sheetData sheetId="0"/>
      <sheetData sheetId="1">
        <row r="1">
          <cell r="C1" t="str">
            <v>Workers</v>
          </cell>
          <cell r="F1" t="str">
            <v>Line_Fam</v>
          </cell>
        </row>
        <row r="2">
          <cell r="C2">
            <v>6</v>
          </cell>
          <cell r="F2" t="str">
            <v>Pri</v>
          </cell>
        </row>
        <row r="3">
          <cell r="C3">
            <v>0</v>
          </cell>
          <cell r="F3" t="str">
            <v>Pri</v>
          </cell>
        </row>
        <row r="4">
          <cell r="C4">
            <v>0</v>
          </cell>
          <cell r="F4" t="str">
            <v>Pri</v>
          </cell>
        </row>
        <row r="5">
          <cell r="C5">
            <v>0</v>
          </cell>
          <cell r="F5" t="str">
            <v>Pri</v>
          </cell>
        </row>
        <row r="6">
          <cell r="C6">
            <v>6</v>
          </cell>
          <cell r="F6" t="str">
            <v>Pri</v>
          </cell>
        </row>
        <row r="7">
          <cell r="C7">
            <v>0</v>
          </cell>
          <cell r="F7" t="str">
            <v>Pri</v>
          </cell>
        </row>
        <row r="8">
          <cell r="C8">
            <v>0</v>
          </cell>
          <cell r="F8" t="str">
            <v>Pri</v>
          </cell>
        </row>
        <row r="9">
          <cell r="C9">
            <v>0</v>
          </cell>
          <cell r="F9" t="str">
            <v>Pri</v>
          </cell>
        </row>
        <row r="10">
          <cell r="C10">
            <v>10</v>
          </cell>
          <cell r="F10" t="str">
            <v>Cut</v>
          </cell>
        </row>
        <row r="11">
          <cell r="C11">
            <v>0</v>
          </cell>
          <cell r="F11" t="str">
            <v>Cut</v>
          </cell>
        </row>
        <row r="12">
          <cell r="C12">
            <v>0</v>
          </cell>
          <cell r="F12" t="str">
            <v>Cut</v>
          </cell>
        </row>
        <row r="13">
          <cell r="C13">
            <v>0</v>
          </cell>
          <cell r="F13" t="str">
            <v>Cut</v>
          </cell>
        </row>
        <row r="14">
          <cell r="C14">
            <v>0</v>
          </cell>
          <cell r="F14" t="str">
            <v>Cut</v>
          </cell>
        </row>
        <row r="15">
          <cell r="C15">
            <v>0</v>
          </cell>
          <cell r="F15" t="str">
            <v>Cut</v>
          </cell>
        </row>
        <row r="16">
          <cell r="C16">
            <v>0</v>
          </cell>
          <cell r="F16" t="str">
            <v>Cut</v>
          </cell>
        </row>
        <row r="17">
          <cell r="C17">
            <v>0</v>
          </cell>
          <cell r="F17" t="str">
            <v>Cut</v>
          </cell>
        </row>
        <row r="18">
          <cell r="C18">
            <v>0</v>
          </cell>
          <cell r="F18" t="str">
            <v>Cut</v>
          </cell>
        </row>
        <row r="19">
          <cell r="C19">
            <v>0</v>
          </cell>
          <cell r="F19" t="str">
            <v>Cut</v>
          </cell>
        </row>
        <row r="20">
          <cell r="C20">
            <v>0</v>
          </cell>
          <cell r="F20" t="str">
            <v>Cut</v>
          </cell>
        </row>
        <row r="21">
          <cell r="C21">
            <v>0</v>
          </cell>
          <cell r="F21" t="str">
            <v>Cut</v>
          </cell>
        </row>
        <row r="22">
          <cell r="C22">
            <v>20</v>
          </cell>
          <cell r="F22" t="str">
            <v>Man</v>
          </cell>
        </row>
        <row r="23">
          <cell r="C23">
            <v>0</v>
          </cell>
          <cell r="F23" t="str">
            <v>Man</v>
          </cell>
        </row>
        <row r="24">
          <cell r="C24">
            <v>0</v>
          </cell>
          <cell r="F24" t="str">
            <v>Man</v>
          </cell>
        </row>
        <row r="25">
          <cell r="C25">
            <v>0</v>
          </cell>
          <cell r="F25" t="str">
            <v>Man</v>
          </cell>
        </row>
        <row r="26">
          <cell r="C26">
            <v>0</v>
          </cell>
          <cell r="F26" t="str">
            <v>Man</v>
          </cell>
        </row>
        <row r="27">
          <cell r="C27">
            <v>20</v>
          </cell>
          <cell r="F27" t="str">
            <v>Man</v>
          </cell>
        </row>
        <row r="28">
          <cell r="C28">
            <v>20</v>
          </cell>
          <cell r="F28" t="str">
            <v>Man</v>
          </cell>
        </row>
        <row r="29">
          <cell r="C29">
            <v>0</v>
          </cell>
          <cell r="F29" t="str">
            <v>Man</v>
          </cell>
        </row>
        <row r="30">
          <cell r="C30">
            <v>0</v>
          </cell>
          <cell r="F30" t="str">
            <v>Man</v>
          </cell>
        </row>
        <row r="31">
          <cell r="C31">
            <v>20</v>
          </cell>
          <cell r="F31" t="str">
            <v>Man</v>
          </cell>
        </row>
        <row r="32">
          <cell r="C32">
            <v>20</v>
          </cell>
          <cell r="F32" t="str">
            <v>Man</v>
          </cell>
        </row>
        <row r="33">
          <cell r="C33">
            <v>0</v>
          </cell>
          <cell r="F33" t="str">
            <v>Man</v>
          </cell>
        </row>
        <row r="34">
          <cell r="C34">
            <v>3</v>
          </cell>
          <cell r="F34" t="str">
            <v>Sew</v>
          </cell>
        </row>
        <row r="35">
          <cell r="C35">
            <v>0</v>
          </cell>
          <cell r="F35" t="str">
            <v>Sew</v>
          </cell>
        </row>
        <row r="36">
          <cell r="C36">
            <v>0</v>
          </cell>
          <cell r="F36" t="str">
            <v>Sew</v>
          </cell>
        </row>
        <row r="37">
          <cell r="C37">
            <v>0</v>
          </cell>
          <cell r="F37" t="str">
            <v>Sew</v>
          </cell>
        </row>
        <row r="38">
          <cell r="C38">
            <v>3</v>
          </cell>
          <cell r="F38" t="str">
            <v>Sew</v>
          </cell>
        </row>
        <row r="39">
          <cell r="C39">
            <v>0</v>
          </cell>
          <cell r="F39" t="str">
            <v>Sew</v>
          </cell>
        </row>
        <row r="40">
          <cell r="C40">
            <v>0</v>
          </cell>
          <cell r="F40" t="str">
            <v>Sew</v>
          </cell>
        </row>
        <row r="41">
          <cell r="C41">
            <v>0</v>
          </cell>
          <cell r="F41" t="str">
            <v>Sew</v>
          </cell>
        </row>
        <row r="42">
          <cell r="C42">
            <v>3</v>
          </cell>
          <cell r="F42" t="str">
            <v>Sew</v>
          </cell>
        </row>
        <row r="43">
          <cell r="C43">
            <v>0</v>
          </cell>
          <cell r="F43" t="str">
            <v>Sew</v>
          </cell>
        </row>
        <row r="44">
          <cell r="C44">
            <v>0</v>
          </cell>
          <cell r="F44" t="str">
            <v>Sew</v>
          </cell>
        </row>
        <row r="45">
          <cell r="C45">
            <v>0</v>
          </cell>
          <cell r="F45" t="str">
            <v>Sew</v>
          </cell>
        </row>
        <row r="46">
          <cell r="C46">
            <v>0</v>
          </cell>
          <cell r="F46" t="str">
            <v>Sew</v>
          </cell>
        </row>
        <row r="47">
          <cell r="C47">
            <v>3</v>
          </cell>
          <cell r="F47" t="str">
            <v>Sew</v>
          </cell>
        </row>
        <row r="48">
          <cell r="C48">
            <v>0</v>
          </cell>
          <cell r="F48" t="str">
            <v>Sew</v>
          </cell>
        </row>
        <row r="49">
          <cell r="C49">
            <v>0</v>
          </cell>
          <cell r="F49" t="str">
            <v>Sew</v>
          </cell>
        </row>
        <row r="50">
          <cell r="C50">
            <v>20</v>
          </cell>
          <cell r="F50" t="str">
            <v>QaC</v>
          </cell>
        </row>
        <row r="51">
          <cell r="C51">
            <v>0</v>
          </cell>
          <cell r="F51" t="str">
            <v>QaC</v>
          </cell>
        </row>
        <row r="52">
          <cell r="C52">
            <v>0</v>
          </cell>
          <cell r="F52" t="str">
            <v>QaC</v>
          </cell>
        </row>
        <row r="53">
          <cell r="C53">
            <v>0</v>
          </cell>
          <cell r="F53" t="str">
            <v>QaC</v>
          </cell>
        </row>
        <row r="54">
          <cell r="C54">
            <v>0</v>
          </cell>
          <cell r="F54" t="str">
            <v>QaC</v>
          </cell>
        </row>
        <row r="55">
          <cell r="C55">
            <v>20</v>
          </cell>
          <cell r="F55" t="str">
            <v>QaC</v>
          </cell>
        </row>
        <row r="56">
          <cell r="C56">
            <v>20</v>
          </cell>
          <cell r="F56" t="str">
            <v>QaC</v>
          </cell>
        </row>
        <row r="57">
          <cell r="C57">
            <v>0</v>
          </cell>
          <cell r="F57" t="str">
            <v>QaC</v>
          </cell>
        </row>
        <row r="58">
          <cell r="C58">
            <v>0</v>
          </cell>
          <cell r="F58" t="str">
            <v>QaC</v>
          </cell>
        </row>
        <row r="59">
          <cell r="C59">
            <v>20</v>
          </cell>
          <cell r="F59" t="str">
            <v>QaC</v>
          </cell>
        </row>
        <row r="60">
          <cell r="C60">
            <v>20</v>
          </cell>
          <cell r="F60" t="str">
            <v>QaC</v>
          </cell>
        </row>
        <row r="61">
          <cell r="C61">
            <v>0</v>
          </cell>
          <cell r="F61" t="str">
            <v>QaC</v>
          </cell>
        </row>
        <row r="62">
          <cell r="C62">
            <v>4</v>
          </cell>
          <cell r="F62" t="str">
            <v>Pac</v>
          </cell>
        </row>
        <row r="63">
          <cell r="C63">
            <v>0</v>
          </cell>
          <cell r="F63" t="str">
            <v>Pac</v>
          </cell>
        </row>
        <row r="64">
          <cell r="C64">
            <v>0</v>
          </cell>
          <cell r="F64" t="str">
            <v>Pac</v>
          </cell>
        </row>
        <row r="65">
          <cell r="C65">
            <v>0</v>
          </cell>
          <cell r="F65" t="str">
            <v>Pac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_Lists"/>
      <sheetName val="Production_Schedule"/>
      <sheetName val="BOM_Matrix"/>
      <sheetName val="Material_Config"/>
      <sheetName val="Sales_Program"/>
    </sheetNames>
    <sheetDataSet>
      <sheetData sheetId="0"/>
      <sheetData sheetId="1"/>
      <sheetData sheetId="2">
        <row r="1">
          <cell r="A1" t="str">
            <v>Material / Product</v>
          </cell>
          <cell r="B1" t="str">
            <v>A</v>
          </cell>
          <cell r="C1" t="str">
            <v>B</v>
          </cell>
          <cell r="D1" t="str">
            <v>C</v>
          </cell>
          <cell r="E1" t="str">
            <v>D</v>
          </cell>
          <cell r="F1" t="str">
            <v>E</v>
          </cell>
          <cell r="G1" t="str">
            <v>F</v>
          </cell>
          <cell r="H1" t="str">
            <v>G</v>
          </cell>
          <cell r="I1" t="str">
            <v>H</v>
          </cell>
          <cell r="J1" t="str">
            <v>I</v>
          </cell>
        </row>
      </sheetData>
      <sheetData sheetId="3">
        <row r="2">
          <cell r="I2">
            <v>3.87</v>
          </cell>
        </row>
        <row r="3">
          <cell r="I3">
            <v>0.9</v>
          </cell>
        </row>
        <row r="4">
          <cell r="I4">
            <v>0.5</v>
          </cell>
        </row>
        <row r="5">
          <cell r="I5">
            <v>87.43</v>
          </cell>
        </row>
        <row r="6">
          <cell r="I6">
            <v>1.9</v>
          </cell>
        </row>
        <row r="7">
          <cell r="I7">
            <v>2.56</v>
          </cell>
        </row>
        <row r="8">
          <cell r="I8">
            <v>123.45</v>
          </cell>
        </row>
        <row r="9">
          <cell r="I9">
            <v>743.86</v>
          </cell>
        </row>
        <row r="10">
          <cell r="I10">
            <v>5.91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7"/>
  <sheetViews>
    <sheetView workbookViewId="0">
      <selection activeCell="B2" sqref="B2:B17"/>
    </sheetView>
  </sheetViews>
  <sheetFormatPr defaultRowHeight="15" x14ac:dyDescent="0.25"/>
  <cols>
    <col min="1" max="1" width="11.85546875" bestFit="1" customWidth="1"/>
    <col min="2" max="2" width="16.42578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</v>
      </c>
      <c r="B2" t="s">
        <v>3</v>
      </c>
    </row>
    <row r="3" spans="1:2" x14ac:dyDescent="0.25">
      <c r="A3" s="2" t="s">
        <v>4</v>
      </c>
      <c r="B3" t="s">
        <v>5</v>
      </c>
    </row>
    <row r="4" spans="1:2" x14ac:dyDescent="0.25">
      <c r="A4" s="2" t="s">
        <v>6</v>
      </c>
      <c r="B4" t="s">
        <v>7</v>
      </c>
    </row>
    <row r="5" spans="1:2" x14ac:dyDescent="0.25">
      <c r="A5" s="3" t="s">
        <v>8</v>
      </c>
      <c r="B5" t="s">
        <v>9</v>
      </c>
    </row>
    <row r="6" spans="1:2" x14ac:dyDescent="0.25">
      <c r="A6" s="3" t="s">
        <v>10</v>
      </c>
      <c r="B6" t="s">
        <v>11</v>
      </c>
    </row>
    <row r="7" spans="1:2" x14ac:dyDescent="0.25">
      <c r="A7" s="3" t="s">
        <v>12</v>
      </c>
      <c r="B7" t="s">
        <v>13</v>
      </c>
    </row>
    <row r="8" spans="1:2" x14ac:dyDescent="0.25">
      <c r="A8" s="3" t="s">
        <v>14</v>
      </c>
      <c r="B8" t="s">
        <v>15</v>
      </c>
    </row>
    <row r="9" spans="1:2" x14ac:dyDescent="0.25">
      <c r="A9" s="3" t="s">
        <v>16</v>
      </c>
      <c r="B9" t="s">
        <v>17</v>
      </c>
    </row>
    <row r="10" spans="1:2" x14ac:dyDescent="0.25">
      <c r="A10" s="3" t="s">
        <v>18</v>
      </c>
      <c r="B10" t="s">
        <v>19</v>
      </c>
    </row>
    <row r="11" spans="1:2" x14ac:dyDescent="0.25">
      <c r="A11" s="3"/>
      <c r="B11" t="s">
        <v>20</v>
      </c>
    </row>
    <row r="12" spans="1:2" x14ac:dyDescent="0.25">
      <c r="B12" t="s">
        <v>21</v>
      </c>
    </row>
    <row r="13" spans="1:2" x14ac:dyDescent="0.25">
      <c r="B13" t="s">
        <v>22</v>
      </c>
    </row>
    <row r="14" spans="1:2" x14ac:dyDescent="0.25">
      <c r="B14" t="s">
        <v>23</v>
      </c>
    </row>
    <row r="15" spans="1:2" x14ac:dyDescent="0.25">
      <c r="B15" t="s">
        <v>24</v>
      </c>
    </row>
    <row r="16" spans="1:2" x14ac:dyDescent="0.25">
      <c r="B16" t="s">
        <v>25</v>
      </c>
    </row>
    <row r="17" spans="2:2" x14ac:dyDescent="0.25">
      <c r="B17" t="s">
        <v>26</v>
      </c>
    </row>
  </sheetData>
  <conditionalFormatting sqref="B1 B7:B1048576">
    <cfRule type="duplicateValues" dxfId="4" priority="2"/>
  </conditionalFormatting>
  <conditionalFormatting sqref="A1:A1048576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0"/>
  <sheetViews>
    <sheetView tabSelected="1" workbookViewId="0"/>
  </sheetViews>
  <sheetFormatPr defaultRowHeight="15" x14ac:dyDescent="0.25"/>
  <cols>
    <col min="1" max="1" width="11.85546875" bestFit="1" customWidth="1"/>
    <col min="2" max="2" width="16.7109375" bestFit="1" customWidth="1"/>
    <col min="7" max="7" width="12" bestFit="1" customWidth="1"/>
    <col min="9" max="9" width="11" bestFit="1" customWidth="1"/>
  </cols>
  <sheetData>
    <row r="1" spans="1:5" x14ac:dyDescent="0.25">
      <c r="A1" s="4" t="s">
        <v>0</v>
      </c>
      <c r="B1" s="4" t="s">
        <v>27</v>
      </c>
      <c r="C1" s="4" t="s">
        <v>28</v>
      </c>
      <c r="D1" s="8" t="s">
        <v>29</v>
      </c>
      <c r="E1" s="8" t="s">
        <v>30</v>
      </c>
    </row>
    <row r="2" spans="1:5" x14ac:dyDescent="0.25">
      <c r="A2" t="s">
        <v>2</v>
      </c>
      <c r="B2">
        <v>3000000</v>
      </c>
      <c r="C2">
        <v>500</v>
      </c>
      <c r="D2">
        <v>46590</v>
      </c>
      <c r="E2">
        <v>2953410</v>
      </c>
    </row>
    <row r="3" spans="1:5" x14ac:dyDescent="0.25">
      <c r="A3" t="s">
        <v>4</v>
      </c>
      <c r="B3">
        <v>3100000</v>
      </c>
      <c r="C3">
        <v>700</v>
      </c>
      <c r="D3">
        <v>3100000</v>
      </c>
      <c r="E3">
        <v>0</v>
      </c>
    </row>
    <row r="4" spans="1:5" x14ac:dyDescent="0.25">
      <c r="A4" t="s">
        <v>6</v>
      </c>
      <c r="B4">
        <v>4566000</v>
      </c>
      <c r="C4">
        <v>900</v>
      </c>
      <c r="D4">
        <v>4566000</v>
      </c>
      <c r="E4">
        <v>0</v>
      </c>
    </row>
    <row r="5" spans="1:5" x14ac:dyDescent="0.25">
      <c r="A5" t="s">
        <v>8</v>
      </c>
      <c r="B5">
        <v>295000</v>
      </c>
      <c r="C5">
        <v>3000</v>
      </c>
      <c r="D5">
        <v>295000</v>
      </c>
      <c r="E5">
        <v>0</v>
      </c>
    </row>
    <row r="6" spans="1:5" x14ac:dyDescent="0.25">
      <c r="A6" t="s">
        <v>10</v>
      </c>
      <c r="B6">
        <v>1233000</v>
      </c>
      <c r="C6">
        <v>600</v>
      </c>
      <c r="D6">
        <v>209891</v>
      </c>
      <c r="E6">
        <v>1023109</v>
      </c>
    </row>
    <row r="7" spans="1:5" x14ac:dyDescent="0.25">
      <c r="A7" t="s">
        <v>12</v>
      </c>
      <c r="B7">
        <v>1234000</v>
      </c>
      <c r="C7">
        <v>800</v>
      </c>
      <c r="D7">
        <v>1232000</v>
      </c>
      <c r="E7">
        <v>2000</v>
      </c>
    </row>
    <row r="8" spans="1:5" x14ac:dyDescent="0.25">
      <c r="A8" t="s">
        <v>14</v>
      </c>
      <c r="B8">
        <v>134500</v>
      </c>
      <c r="C8">
        <v>450</v>
      </c>
      <c r="D8">
        <v>0</v>
      </c>
      <c r="E8">
        <v>134500</v>
      </c>
    </row>
    <row r="9" spans="1:5" x14ac:dyDescent="0.25">
      <c r="A9" t="s">
        <v>16</v>
      </c>
      <c r="B9">
        <v>1234000</v>
      </c>
      <c r="C9">
        <v>120</v>
      </c>
      <c r="D9">
        <v>0</v>
      </c>
      <c r="E9">
        <v>1234000</v>
      </c>
    </row>
    <row r="10" spans="1:5" x14ac:dyDescent="0.25">
      <c r="A10" t="s">
        <v>18</v>
      </c>
      <c r="B10">
        <v>8765000</v>
      </c>
      <c r="C10">
        <v>1000</v>
      </c>
      <c r="D10">
        <v>8763000</v>
      </c>
      <c r="E10">
        <v>2000</v>
      </c>
    </row>
  </sheetData>
  <conditionalFormatting sqref="A1:E1">
    <cfRule type="duplicateValues" dxfId="2" priority="31"/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"/>
  <sheetViews>
    <sheetView workbookViewId="0">
      <selection activeCell="J6" sqref="J6"/>
    </sheetView>
  </sheetViews>
  <sheetFormatPr defaultRowHeight="15" x14ac:dyDescent="0.25"/>
  <cols>
    <col min="1" max="1" width="11.85546875" bestFit="1" customWidth="1"/>
    <col min="10" max="10" width="11" bestFit="1" customWidth="1"/>
  </cols>
  <sheetData>
    <row r="1" spans="1:7" x14ac:dyDescent="0.25">
      <c r="A1" s="1" t="s">
        <v>0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</row>
    <row r="2" spans="1:7" x14ac:dyDescent="0.25">
      <c r="A2" t="s">
        <v>2</v>
      </c>
      <c r="B2">
        <v>300</v>
      </c>
      <c r="C2">
        <v>200</v>
      </c>
      <c r="D2">
        <v>3000</v>
      </c>
      <c r="E2">
        <v>0</v>
      </c>
      <c r="F2">
        <v>2000</v>
      </c>
      <c r="G2">
        <v>160</v>
      </c>
    </row>
    <row r="3" spans="1:7" x14ac:dyDescent="0.25">
      <c r="A3" t="s">
        <v>4</v>
      </c>
      <c r="B3">
        <v>300</v>
      </c>
      <c r="C3">
        <v>200</v>
      </c>
      <c r="D3">
        <v>3000</v>
      </c>
      <c r="E3">
        <v>0</v>
      </c>
      <c r="F3">
        <v>2000</v>
      </c>
      <c r="G3">
        <v>120</v>
      </c>
    </row>
    <row r="4" spans="1:7" x14ac:dyDescent="0.25">
      <c r="A4" t="s">
        <v>6</v>
      </c>
      <c r="B4">
        <v>300</v>
      </c>
      <c r="C4">
        <v>200</v>
      </c>
      <c r="D4">
        <v>3000</v>
      </c>
      <c r="E4">
        <v>0</v>
      </c>
      <c r="F4">
        <v>2500</v>
      </c>
      <c r="G4">
        <v>160</v>
      </c>
    </row>
    <row r="5" spans="1:7" x14ac:dyDescent="0.25">
      <c r="A5" t="s">
        <v>8</v>
      </c>
      <c r="B5">
        <v>300</v>
      </c>
      <c r="C5">
        <v>200</v>
      </c>
      <c r="D5">
        <v>8200</v>
      </c>
      <c r="E5">
        <v>1500</v>
      </c>
      <c r="F5">
        <v>9000</v>
      </c>
      <c r="G5">
        <v>240</v>
      </c>
    </row>
    <row r="6" spans="1:7" x14ac:dyDescent="0.25">
      <c r="A6" t="s">
        <v>10</v>
      </c>
      <c r="B6">
        <v>300</v>
      </c>
      <c r="C6">
        <v>200</v>
      </c>
      <c r="D6">
        <v>2400</v>
      </c>
      <c r="E6">
        <v>800</v>
      </c>
      <c r="F6">
        <v>1000</v>
      </c>
      <c r="G6">
        <v>160</v>
      </c>
    </row>
    <row r="7" spans="1:7" x14ac:dyDescent="0.25">
      <c r="A7" t="s">
        <v>12</v>
      </c>
      <c r="B7">
        <v>300</v>
      </c>
      <c r="C7">
        <v>200</v>
      </c>
      <c r="D7">
        <v>0</v>
      </c>
      <c r="E7">
        <v>500</v>
      </c>
      <c r="F7">
        <v>1500</v>
      </c>
      <c r="G7">
        <v>120</v>
      </c>
    </row>
    <row r="8" spans="1:7" x14ac:dyDescent="0.25">
      <c r="A8" t="s">
        <v>14</v>
      </c>
      <c r="B8">
        <v>300</v>
      </c>
      <c r="C8">
        <v>200</v>
      </c>
      <c r="D8">
        <v>0</v>
      </c>
      <c r="E8">
        <v>1000</v>
      </c>
      <c r="F8">
        <v>2500</v>
      </c>
      <c r="G8">
        <v>160</v>
      </c>
    </row>
    <row r="9" spans="1:7" x14ac:dyDescent="0.25">
      <c r="A9" t="s">
        <v>16</v>
      </c>
      <c r="B9">
        <v>300</v>
      </c>
      <c r="C9">
        <v>200</v>
      </c>
      <c r="D9">
        <v>0</v>
      </c>
      <c r="E9">
        <v>1000</v>
      </c>
      <c r="F9">
        <v>8000</v>
      </c>
      <c r="G9">
        <v>160</v>
      </c>
    </row>
    <row r="10" spans="1:7" x14ac:dyDescent="0.25">
      <c r="A10" t="s">
        <v>18</v>
      </c>
      <c r="B10">
        <v>300</v>
      </c>
      <c r="C10">
        <v>200</v>
      </c>
      <c r="D10">
        <v>0</v>
      </c>
      <c r="E10">
        <v>500</v>
      </c>
      <c r="F10">
        <v>1500</v>
      </c>
      <c r="G10">
        <v>160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6"/>
  <sheetViews>
    <sheetView workbookViewId="0">
      <selection activeCell="E4" sqref="E4"/>
    </sheetView>
  </sheetViews>
  <sheetFormatPr defaultRowHeight="15" x14ac:dyDescent="0.25"/>
  <cols>
    <col min="1" max="1" width="32.85546875" bestFit="1" customWidth="1"/>
    <col min="2" max="2" width="14.85546875" bestFit="1" customWidth="1"/>
    <col min="3" max="3" width="14.7109375" bestFit="1" customWidth="1"/>
    <col min="4" max="4" width="14.140625" bestFit="1" customWidth="1"/>
    <col min="5" max="21" width="16.28515625" bestFit="1" customWidth="1"/>
    <col min="22" max="22" width="18.5703125" bestFit="1" customWidth="1"/>
    <col min="23" max="23" width="19.140625" bestFit="1" customWidth="1"/>
    <col min="24" max="24" width="20.140625" bestFit="1" customWidth="1"/>
    <col min="25" max="25" width="19.85546875" bestFit="1" customWidth="1"/>
    <col min="26" max="26" width="19.7109375" bestFit="1" customWidth="1"/>
    <col min="27" max="27" width="19.140625" bestFit="1" customWidth="1"/>
  </cols>
  <sheetData>
    <row r="1" spans="1:7" x14ac:dyDescent="0.25">
      <c r="A1" s="1" t="s">
        <v>37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</row>
    <row r="2" spans="1:7" x14ac:dyDescent="0.25">
      <c r="A2" t="s">
        <v>38</v>
      </c>
      <c r="B2">
        <f>SUMPRODUCT(Product_Forecast!$B$2:$B$10,POL_Matrix!B2:B10)</f>
        <v>7068450000</v>
      </c>
      <c r="C2">
        <f>SUMPRODUCT(Product_Forecast!$B$2:$B$10,POL_Matrix!C2:C10)</f>
        <v>4712300000</v>
      </c>
      <c r="D2">
        <f>SUMPRODUCT(Product_Forecast!$B$2:$B$10,POL_Matrix!D2:D10)</f>
        <v>37376200000</v>
      </c>
      <c r="E2">
        <f>SUMPRODUCT(Product_Forecast!$B$2:$B$10,POL_Matrix!E2:E10)</f>
        <v>7796900000</v>
      </c>
      <c r="F2">
        <f>SUMPRODUCT(Product_Forecast!$B$2:$B$10,POL_Matrix!F2:F10)</f>
        <v>52709750000</v>
      </c>
      <c r="G2">
        <f>SUMPRODUCT(Product_Forecast!$B$2:$B$10,POL_Matrix!G2:G10)</f>
        <v>3620080000</v>
      </c>
    </row>
    <row r="3" spans="1:7" x14ac:dyDescent="0.25">
      <c r="A3" t="s">
        <v>39</v>
      </c>
      <c r="B3">
        <f t="shared" ref="B3:G3" si="0">B2/3600000</f>
        <v>1963.4583333333333</v>
      </c>
      <c r="C3">
        <f t="shared" si="0"/>
        <v>1308.9722222222222</v>
      </c>
      <c r="D3">
        <f t="shared" si="0"/>
        <v>10382.277777777777</v>
      </c>
      <c r="E3">
        <f t="shared" si="0"/>
        <v>2165.8055555555557</v>
      </c>
      <c r="F3">
        <f t="shared" si="0"/>
        <v>14641.597222222223</v>
      </c>
      <c r="G3">
        <f t="shared" si="0"/>
        <v>1005.5777777777778</v>
      </c>
    </row>
    <row r="4" spans="1:7" x14ac:dyDescent="0.25">
      <c r="A4" t="s">
        <v>40</v>
      </c>
      <c r="B4" t="e">
        <f>SUMIF([1]Expanded_Details!$F:$F,B$1,[1]Expanded_Details!$C:$C)</f>
        <v>#VALUE!</v>
      </c>
      <c r="C4" t="e">
        <f>SUMIF([1]Expanded_Details!$F:$F,C$1,[1]Expanded_Details!$C:$C)</f>
        <v>#VALUE!</v>
      </c>
      <c r="D4" t="e">
        <f>SUMIF([1]Expanded_Details!$F:$F,D$1,[1]Expanded_Details!$C:$C)</f>
        <v>#VALUE!</v>
      </c>
      <c r="E4" t="e">
        <f>SUMIF([1]Expanded_Details!$F:$F,E$1,[1]Expanded_Details!$C:$C)</f>
        <v>#VALUE!</v>
      </c>
      <c r="F4" t="e">
        <f>SUMIF([1]Expanded_Details!$F:$F,F$1,[1]Expanded_Details!$C:$C)</f>
        <v>#VALUE!</v>
      </c>
      <c r="G4" t="e">
        <f>SUMIF([1]Expanded_Details!$F:$F,G$1,[1]Expanded_Details!$C:$C)</f>
        <v>#VALUE!</v>
      </c>
    </row>
    <row r="5" spans="1:7" x14ac:dyDescent="0.25">
      <c r="A5" t="s">
        <v>41</v>
      </c>
      <c r="B5" t="e">
        <f t="shared" ref="B5:G5" si="1">B3/B4</f>
        <v>#VALUE!</v>
      </c>
      <c r="C5" t="e">
        <f t="shared" si="1"/>
        <v>#VALUE!</v>
      </c>
      <c r="D5" t="e">
        <f t="shared" si="1"/>
        <v>#VALUE!</v>
      </c>
      <c r="E5" t="e">
        <f t="shared" si="1"/>
        <v>#VALUE!</v>
      </c>
      <c r="F5" t="e">
        <f t="shared" si="1"/>
        <v>#VALUE!</v>
      </c>
      <c r="G5" t="e">
        <f t="shared" si="1"/>
        <v>#VALUE!</v>
      </c>
    </row>
    <row r="6" spans="1:7" x14ac:dyDescent="0.25">
      <c r="A6" t="s">
        <v>42</v>
      </c>
      <c r="B6" t="e">
        <f t="shared" ref="B6:G6" si="2">B5/8</f>
        <v>#VALUE!</v>
      </c>
      <c r="C6" t="e">
        <f t="shared" si="2"/>
        <v>#VALUE!</v>
      </c>
      <c r="D6" t="e">
        <f t="shared" si="2"/>
        <v>#VALUE!</v>
      </c>
      <c r="E6" t="e">
        <f t="shared" si="2"/>
        <v>#VALUE!</v>
      </c>
      <c r="F6" t="e">
        <f t="shared" si="2"/>
        <v>#VALUE!</v>
      </c>
      <c r="G6" t="e">
        <f t="shared" si="2"/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55"/>
  <sheetViews>
    <sheetView workbookViewId="0">
      <selection activeCell="I18" sqref="I18"/>
    </sheetView>
  </sheetViews>
  <sheetFormatPr defaultRowHeight="15" x14ac:dyDescent="0.25"/>
  <cols>
    <col min="1" max="1" width="11.85546875" bestFit="1" customWidth="1"/>
    <col min="2" max="2" width="7.7109375" bestFit="1" customWidth="1"/>
    <col min="3" max="3" width="13.7109375" bestFit="1" customWidth="1"/>
    <col min="4" max="33" width="10.7109375" bestFit="1" customWidth="1"/>
  </cols>
  <sheetData>
    <row r="1" spans="1:4" x14ac:dyDescent="0.25">
      <c r="A1" s="5" t="s">
        <v>43</v>
      </c>
      <c r="B1" s="5" t="s">
        <v>0</v>
      </c>
      <c r="C1" s="6" t="s">
        <v>44</v>
      </c>
      <c r="D1" s="5" t="s">
        <v>45</v>
      </c>
    </row>
    <row r="2" spans="1:4" x14ac:dyDescent="0.25">
      <c r="A2" s="9">
        <v>46295</v>
      </c>
      <c r="B2" t="s">
        <v>2</v>
      </c>
      <c r="C2" s="7" t="s">
        <v>31</v>
      </c>
      <c r="D2">
        <v>0</v>
      </c>
    </row>
    <row r="3" spans="1:4" x14ac:dyDescent="0.25">
      <c r="A3" s="9">
        <v>46295</v>
      </c>
      <c r="B3" t="s">
        <v>2</v>
      </c>
      <c r="C3" s="7" t="s">
        <v>32</v>
      </c>
      <c r="D3">
        <v>1557</v>
      </c>
    </row>
    <row r="4" spans="1:4" x14ac:dyDescent="0.25">
      <c r="A4" s="9">
        <v>46295</v>
      </c>
      <c r="B4" t="s">
        <v>2</v>
      </c>
      <c r="C4" s="7" t="s">
        <v>33</v>
      </c>
      <c r="D4">
        <v>0</v>
      </c>
    </row>
    <row r="5" spans="1:4" x14ac:dyDescent="0.25">
      <c r="A5" s="9">
        <v>46295</v>
      </c>
      <c r="B5" t="s">
        <v>2</v>
      </c>
      <c r="C5" s="7" t="s">
        <v>35</v>
      </c>
      <c r="D5">
        <v>9371697</v>
      </c>
    </row>
    <row r="6" spans="1:4" x14ac:dyDescent="0.25">
      <c r="A6" s="9">
        <v>46295</v>
      </c>
      <c r="B6" t="s">
        <v>4</v>
      </c>
      <c r="C6" s="7" t="s">
        <v>31</v>
      </c>
      <c r="D6">
        <v>168749</v>
      </c>
    </row>
    <row r="7" spans="1:4" x14ac:dyDescent="0.25">
      <c r="A7" s="9">
        <v>46295</v>
      </c>
      <c r="B7" t="s">
        <v>4</v>
      </c>
      <c r="C7" s="7" t="s">
        <v>32</v>
      </c>
      <c r="D7">
        <v>0</v>
      </c>
    </row>
    <row r="8" spans="1:4" x14ac:dyDescent="0.25">
      <c r="A8" s="9">
        <v>46295</v>
      </c>
      <c r="B8" t="s">
        <v>4</v>
      </c>
      <c r="C8" s="7" t="s">
        <v>33</v>
      </c>
      <c r="D8">
        <v>372</v>
      </c>
    </row>
    <row r="9" spans="1:4" x14ac:dyDescent="0.25">
      <c r="A9" s="9">
        <v>46295</v>
      </c>
      <c r="B9" t="s">
        <v>4</v>
      </c>
      <c r="C9" s="7" t="s">
        <v>35</v>
      </c>
      <c r="D9">
        <v>102826</v>
      </c>
    </row>
    <row r="10" spans="1:4" x14ac:dyDescent="0.25">
      <c r="A10" s="9">
        <v>46295</v>
      </c>
      <c r="B10" t="s">
        <v>6</v>
      </c>
      <c r="C10" s="7" t="s">
        <v>31</v>
      </c>
      <c r="D10">
        <v>0</v>
      </c>
    </row>
    <row r="11" spans="1:4" x14ac:dyDescent="0.25">
      <c r="A11" s="9">
        <v>46295</v>
      </c>
      <c r="B11" t="s">
        <v>6</v>
      </c>
      <c r="C11" s="7" t="s">
        <v>32</v>
      </c>
      <c r="D11">
        <v>52244</v>
      </c>
    </row>
    <row r="12" spans="1:4" x14ac:dyDescent="0.25">
      <c r="A12" s="9">
        <v>46295</v>
      </c>
      <c r="B12" t="s">
        <v>6</v>
      </c>
      <c r="C12" s="7" t="s">
        <v>33</v>
      </c>
      <c r="D12">
        <v>0</v>
      </c>
    </row>
    <row r="13" spans="1:4" x14ac:dyDescent="0.25">
      <c r="A13" s="9">
        <v>46295</v>
      </c>
      <c r="B13" t="s">
        <v>6</v>
      </c>
      <c r="C13" s="7" t="s">
        <v>35</v>
      </c>
      <c r="D13">
        <v>0</v>
      </c>
    </row>
    <row r="14" spans="1:4" x14ac:dyDescent="0.25">
      <c r="A14" s="9">
        <v>46295</v>
      </c>
      <c r="B14" t="s">
        <v>8</v>
      </c>
      <c r="C14" s="7" t="s">
        <v>31</v>
      </c>
      <c r="D14">
        <v>0</v>
      </c>
    </row>
    <row r="15" spans="1:4" x14ac:dyDescent="0.25">
      <c r="A15" s="9">
        <v>46295</v>
      </c>
      <c r="B15" t="s">
        <v>8</v>
      </c>
      <c r="C15" s="7" t="s">
        <v>32</v>
      </c>
      <c r="D15">
        <v>0</v>
      </c>
    </row>
    <row r="16" spans="1:4" x14ac:dyDescent="0.25">
      <c r="A16" s="9">
        <v>46295</v>
      </c>
      <c r="B16" t="s">
        <v>8</v>
      </c>
      <c r="C16" s="7" t="s">
        <v>33</v>
      </c>
      <c r="D16">
        <v>830</v>
      </c>
    </row>
    <row r="17" spans="1:4" x14ac:dyDescent="0.25">
      <c r="A17" s="9">
        <v>46295</v>
      </c>
      <c r="B17" t="s">
        <v>8</v>
      </c>
      <c r="C17" s="7" t="s">
        <v>34</v>
      </c>
      <c r="D17">
        <v>72500</v>
      </c>
    </row>
    <row r="18" spans="1:4" x14ac:dyDescent="0.25">
      <c r="A18" s="9">
        <v>46295</v>
      </c>
      <c r="B18" t="s">
        <v>8</v>
      </c>
      <c r="C18" s="7" t="s">
        <v>35</v>
      </c>
      <c r="D18">
        <v>375652</v>
      </c>
    </row>
    <row r="19" spans="1:4" x14ac:dyDescent="0.25">
      <c r="A19" s="9">
        <v>46295</v>
      </c>
      <c r="B19" t="s">
        <v>10</v>
      </c>
      <c r="C19" s="7" t="s">
        <v>31</v>
      </c>
      <c r="D19">
        <v>0</v>
      </c>
    </row>
    <row r="20" spans="1:4" x14ac:dyDescent="0.25">
      <c r="A20" s="9">
        <v>46295</v>
      </c>
      <c r="B20" t="s">
        <v>10</v>
      </c>
      <c r="C20" s="7" t="s">
        <v>32</v>
      </c>
      <c r="D20">
        <v>0</v>
      </c>
    </row>
    <row r="21" spans="1:4" x14ac:dyDescent="0.25">
      <c r="A21" s="9">
        <v>46295</v>
      </c>
      <c r="B21" t="s">
        <v>10</v>
      </c>
      <c r="C21" s="7" t="s">
        <v>33</v>
      </c>
      <c r="D21">
        <v>9277</v>
      </c>
    </row>
    <row r="22" spans="1:4" x14ac:dyDescent="0.25">
      <c r="A22" s="9">
        <v>46295</v>
      </c>
      <c r="B22" t="s">
        <v>10</v>
      </c>
      <c r="C22" s="7" t="s">
        <v>34</v>
      </c>
      <c r="D22">
        <v>0</v>
      </c>
    </row>
    <row r="23" spans="1:4" x14ac:dyDescent="0.25">
      <c r="A23" s="9">
        <v>46295</v>
      </c>
      <c r="B23" t="s">
        <v>10</v>
      </c>
      <c r="C23" s="7" t="s">
        <v>35</v>
      </c>
      <c r="D23">
        <v>2018</v>
      </c>
    </row>
    <row r="24" spans="1:4" x14ac:dyDescent="0.25">
      <c r="A24" s="9">
        <v>46295</v>
      </c>
      <c r="B24" t="s">
        <v>12</v>
      </c>
      <c r="C24" s="7" t="s">
        <v>31</v>
      </c>
      <c r="D24">
        <v>0</v>
      </c>
    </row>
    <row r="25" spans="1:4" x14ac:dyDescent="0.25">
      <c r="A25" s="9">
        <v>46295</v>
      </c>
      <c r="B25" t="s">
        <v>12</v>
      </c>
      <c r="C25" s="7" t="s">
        <v>32</v>
      </c>
      <c r="D25">
        <v>1</v>
      </c>
    </row>
    <row r="26" spans="1:4" x14ac:dyDescent="0.25">
      <c r="A26" s="9">
        <v>46295</v>
      </c>
      <c r="B26" t="s">
        <v>12</v>
      </c>
      <c r="C26" s="7" t="s">
        <v>34</v>
      </c>
      <c r="D26">
        <v>66838</v>
      </c>
    </row>
    <row r="27" spans="1:4" x14ac:dyDescent="0.25">
      <c r="A27" s="9">
        <v>46295</v>
      </c>
      <c r="B27" t="s">
        <v>12</v>
      </c>
      <c r="C27" s="7" t="s">
        <v>35</v>
      </c>
      <c r="D27">
        <v>146667</v>
      </c>
    </row>
    <row r="28" spans="1:4" x14ac:dyDescent="0.25">
      <c r="A28" s="9">
        <v>46295</v>
      </c>
      <c r="B28" t="s">
        <v>14</v>
      </c>
      <c r="C28" s="7" t="s">
        <v>31</v>
      </c>
      <c r="D28">
        <v>0</v>
      </c>
    </row>
    <row r="29" spans="1:4" x14ac:dyDescent="0.25">
      <c r="A29" s="9">
        <v>46295</v>
      </c>
      <c r="B29" t="s">
        <v>14</v>
      </c>
      <c r="C29" s="7" t="s">
        <v>32</v>
      </c>
      <c r="D29">
        <v>184936</v>
      </c>
    </row>
    <row r="30" spans="1:4" x14ac:dyDescent="0.25">
      <c r="A30" s="9">
        <v>46295</v>
      </c>
      <c r="B30" t="s">
        <v>14</v>
      </c>
      <c r="C30" s="7" t="s">
        <v>34</v>
      </c>
      <c r="D30">
        <v>0</v>
      </c>
    </row>
    <row r="31" spans="1:4" x14ac:dyDescent="0.25">
      <c r="A31" s="9">
        <v>46295</v>
      </c>
      <c r="B31" t="s">
        <v>14</v>
      </c>
      <c r="C31" s="7" t="s">
        <v>35</v>
      </c>
      <c r="D31">
        <v>360284</v>
      </c>
    </row>
    <row r="32" spans="1:4" x14ac:dyDescent="0.25">
      <c r="A32" s="9">
        <v>46295</v>
      </c>
      <c r="B32" t="s">
        <v>16</v>
      </c>
      <c r="C32" s="7" t="s">
        <v>31</v>
      </c>
      <c r="D32">
        <v>629364</v>
      </c>
    </row>
    <row r="33" spans="1:4" x14ac:dyDescent="0.25">
      <c r="A33" s="9">
        <v>46295</v>
      </c>
      <c r="B33" t="s">
        <v>16</v>
      </c>
      <c r="C33" s="7" t="s">
        <v>32</v>
      </c>
      <c r="D33">
        <v>0</v>
      </c>
    </row>
    <row r="34" spans="1:4" x14ac:dyDescent="0.25">
      <c r="A34" s="9">
        <v>46295</v>
      </c>
      <c r="B34" t="s">
        <v>16</v>
      </c>
      <c r="C34" s="7" t="s">
        <v>34</v>
      </c>
      <c r="D34">
        <v>12204</v>
      </c>
    </row>
    <row r="35" spans="1:4" x14ac:dyDescent="0.25">
      <c r="A35" s="9">
        <v>46295</v>
      </c>
      <c r="B35" t="s">
        <v>16</v>
      </c>
      <c r="C35" s="7" t="s">
        <v>35</v>
      </c>
      <c r="D35">
        <v>195879</v>
      </c>
    </row>
    <row r="36" spans="1:4" x14ac:dyDescent="0.25">
      <c r="A36" s="9">
        <v>46295</v>
      </c>
      <c r="B36" t="s">
        <v>18</v>
      </c>
      <c r="C36" s="7" t="s">
        <v>31</v>
      </c>
      <c r="D36">
        <v>73983</v>
      </c>
    </row>
    <row r="37" spans="1:4" x14ac:dyDescent="0.25">
      <c r="A37" s="9">
        <v>46295</v>
      </c>
      <c r="B37" t="s">
        <v>18</v>
      </c>
      <c r="C37" s="7" t="s">
        <v>32</v>
      </c>
      <c r="D37">
        <v>2</v>
      </c>
    </row>
    <row r="38" spans="1:4" x14ac:dyDescent="0.25">
      <c r="A38" s="9">
        <v>46295</v>
      </c>
      <c r="B38" t="s">
        <v>18</v>
      </c>
      <c r="C38" s="7" t="s">
        <v>34</v>
      </c>
      <c r="D38">
        <v>309562</v>
      </c>
    </row>
    <row r="39" spans="1:4" x14ac:dyDescent="0.25">
      <c r="A39" s="9">
        <v>46295</v>
      </c>
      <c r="B39" t="s">
        <v>18</v>
      </c>
      <c r="C39" s="7" t="s">
        <v>35</v>
      </c>
      <c r="D39">
        <v>1537</v>
      </c>
    </row>
    <row r="40" spans="1:4" x14ac:dyDescent="0.25">
      <c r="C40" s="7"/>
    </row>
    <row r="41" spans="1:4" x14ac:dyDescent="0.25">
      <c r="C41" s="7"/>
    </row>
    <row r="42" spans="1:4" x14ac:dyDescent="0.25">
      <c r="C42" s="7"/>
    </row>
    <row r="43" spans="1:4" x14ac:dyDescent="0.25">
      <c r="C43" s="7"/>
    </row>
    <row r="44" spans="1:4" x14ac:dyDescent="0.25">
      <c r="C44" s="7"/>
    </row>
    <row r="45" spans="1:4" x14ac:dyDescent="0.25">
      <c r="C45" s="7"/>
    </row>
    <row r="46" spans="1:4" x14ac:dyDescent="0.25">
      <c r="C46" s="7"/>
    </row>
    <row r="47" spans="1:4" x14ac:dyDescent="0.25">
      <c r="C47" s="7"/>
    </row>
    <row r="48" spans="1:4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17"/>
  <sheetViews>
    <sheetView workbookViewId="0">
      <selection activeCell="I4" sqref="I4"/>
    </sheetView>
  </sheetViews>
  <sheetFormatPr defaultRowHeight="15" x14ac:dyDescent="0.25"/>
  <cols>
    <col min="1" max="1" width="15" bestFit="1" customWidth="1"/>
    <col min="2" max="2" width="13.7109375" bestFit="1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t="str">
        <f>Master_List!B2</f>
        <v>Pri1</v>
      </c>
      <c r="B2">
        <v>2000</v>
      </c>
    </row>
    <row r="3" spans="1:2" x14ac:dyDescent="0.25">
      <c r="A3" t="str">
        <f>Master_List!B3</f>
        <v>Pri2</v>
      </c>
      <c r="B3">
        <v>2000</v>
      </c>
    </row>
    <row r="4" spans="1:2" x14ac:dyDescent="0.25">
      <c r="A4" t="str">
        <f>Master_List!B4</f>
        <v>Cut1</v>
      </c>
      <c r="B4">
        <v>2000</v>
      </c>
    </row>
    <row r="5" spans="1:2" x14ac:dyDescent="0.25">
      <c r="A5" t="str">
        <f>Master_List!B5</f>
        <v>Cut2</v>
      </c>
      <c r="B5">
        <v>2000</v>
      </c>
    </row>
    <row r="6" spans="1:2" x14ac:dyDescent="0.25">
      <c r="A6" t="str">
        <f>Master_List!B6</f>
        <v>Cut3</v>
      </c>
      <c r="B6">
        <v>2000</v>
      </c>
    </row>
    <row r="7" spans="1:2" x14ac:dyDescent="0.25">
      <c r="A7" t="str">
        <f>Master_List!B7</f>
        <v>Man1</v>
      </c>
      <c r="B7">
        <v>250</v>
      </c>
    </row>
    <row r="8" spans="1:2" x14ac:dyDescent="0.25">
      <c r="A8" t="str">
        <f>Master_List!B8</f>
        <v>Man2</v>
      </c>
      <c r="B8">
        <v>250</v>
      </c>
    </row>
    <row r="9" spans="1:2" x14ac:dyDescent="0.25">
      <c r="A9" t="str">
        <f>Master_List!B9</f>
        <v>Man3</v>
      </c>
      <c r="B9">
        <v>250</v>
      </c>
    </row>
    <row r="10" spans="1:2" x14ac:dyDescent="0.25">
      <c r="A10" t="str">
        <f>Master_List!B10</f>
        <v>Sew1</v>
      </c>
      <c r="B10">
        <v>500</v>
      </c>
    </row>
    <row r="11" spans="1:2" x14ac:dyDescent="0.25">
      <c r="A11" t="str">
        <f>Master_List!B11</f>
        <v>Sew2</v>
      </c>
      <c r="B11">
        <v>500</v>
      </c>
    </row>
    <row r="12" spans="1:2" x14ac:dyDescent="0.25">
      <c r="A12" t="str">
        <f>Master_List!B12</f>
        <v>Sew3</v>
      </c>
      <c r="B12">
        <v>500</v>
      </c>
    </row>
    <row r="13" spans="1:2" x14ac:dyDescent="0.25">
      <c r="A13" t="str">
        <f>Master_List!B13</f>
        <v>Sew4</v>
      </c>
      <c r="B13">
        <v>500</v>
      </c>
    </row>
    <row r="14" spans="1:2" x14ac:dyDescent="0.25">
      <c r="A14" t="str">
        <f>Master_List!B14</f>
        <v>QaC1</v>
      </c>
      <c r="B14">
        <v>500</v>
      </c>
    </row>
    <row r="15" spans="1:2" x14ac:dyDescent="0.25">
      <c r="A15" t="str">
        <f>Master_List!B15</f>
        <v>QaC2</v>
      </c>
      <c r="B15">
        <v>500</v>
      </c>
    </row>
    <row r="16" spans="1:2" x14ac:dyDescent="0.25">
      <c r="A16" t="str">
        <f>Master_List!B16</f>
        <v>QaC3</v>
      </c>
      <c r="B16">
        <v>500</v>
      </c>
    </row>
    <row r="17" spans="1:2" x14ac:dyDescent="0.25">
      <c r="A17" t="str">
        <f>Master_List!B17</f>
        <v>Pac1</v>
      </c>
      <c r="B17">
        <v>1000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0"/>
  <sheetViews>
    <sheetView workbookViewId="0">
      <selection activeCell="G16" sqref="G16"/>
    </sheetView>
  </sheetViews>
  <sheetFormatPr defaultRowHeight="15" x14ac:dyDescent="0.25"/>
  <cols>
    <col min="3" max="3" width="11.140625" bestFit="1" customWidth="1"/>
  </cols>
  <sheetData>
    <row r="1" spans="1:3" x14ac:dyDescent="0.25">
      <c r="A1" s="1" t="s">
        <v>0</v>
      </c>
      <c r="B1" t="s">
        <v>48</v>
      </c>
      <c r="C1" s="1" t="s">
        <v>49</v>
      </c>
    </row>
    <row r="2" spans="1:3" x14ac:dyDescent="0.25">
      <c r="A2" s="2" t="s">
        <v>2</v>
      </c>
      <c r="B2" t="str">
        <f>SUBSTITUTE(ADDRESS(1, MATCH(A2,[2]BOM_Matrix!$A$1:$J$1,0), 4), "1", "")</f>
        <v>B</v>
      </c>
      <c r="C2" t="e">
        <f ca="1">SUMPRODUCT([2]Material_Config!$I$2:$I$10, INDIRECT("'[planning_input.xlsm]BOM_Matrix'!" &amp; B2 &amp; "2:" &amp; B2 &amp; "10"))</f>
        <v>#REF!</v>
      </c>
    </row>
    <row r="3" spans="1:3" x14ac:dyDescent="0.25">
      <c r="A3" s="2" t="s">
        <v>4</v>
      </c>
      <c r="B3" t="str">
        <f>SUBSTITUTE(ADDRESS(1, MATCH(A3,[2]BOM_Matrix!$A$1:$J$1,0), 4), "1", "")</f>
        <v>C</v>
      </c>
      <c r="C3" t="e">
        <f ca="1">SUMPRODUCT([2]Material_Config!$I$2:$I$10, INDIRECT("'[planning_input.xlsm]BOM_Matrix'!" &amp; B3 &amp; "2:" &amp; B3 &amp; "10"))</f>
        <v>#REF!</v>
      </c>
    </row>
    <row r="4" spans="1:3" x14ac:dyDescent="0.25">
      <c r="A4" s="2" t="s">
        <v>6</v>
      </c>
      <c r="B4" t="str">
        <f>SUBSTITUTE(ADDRESS(1, MATCH(A4,[2]BOM_Matrix!$A$1:$J$1,0), 4), "1", "")</f>
        <v>D</v>
      </c>
      <c r="C4" t="e">
        <f ca="1">SUMPRODUCT([2]Material_Config!$I$2:$I$10, INDIRECT("'[planning_input.xlsm]BOM_Matrix'!" &amp; B4 &amp; "2:" &amp; B4 &amp; "10"))</f>
        <v>#REF!</v>
      </c>
    </row>
    <row r="5" spans="1:3" x14ac:dyDescent="0.25">
      <c r="A5" s="3" t="s">
        <v>8</v>
      </c>
      <c r="B5" t="str">
        <f>SUBSTITUTE(ADDRESS(1, MATCH(A5,[2]BOM_Matrix!$A$1:$J$1,0), 4), "1", "")</f>
        <v>E</v>
      </c>
      <c r="C5" t="e">
        <f ca="1">SUMPRODUCT([2]Material_Config!$I$2:$I$10, INDIRECT("'[planning_input.xlsm]BOM_Matrix'!" &amp; B5 &amp; "2:" &amp; B5 &amp; "10"))</f>
        <v>#REF!</v>
      </c>
    </row>
    <row r="6" spans="1:3" x14ac:dyDescent="0.25">
      <c r="A6" s="3" t="s">
        <v>10</v>
      </c>
      <c r="B6" t="str">
        <f>SUBSTITUTE(ADDRESS(1, MATCH(A6,[2]BOM_Matrix!$A$1:$J$1,0), 4), "1", "")</f>
        <v>F</v>
      </c>
      <c r="C6" t="e">
        <f ca="1">SUMPRODUCT([2]Material_Config!$I$2:$I$10, INDIRECT("'[planning_input.xlsm]BOM_Matrix'!" &amp; B6 &amp; "2:" &amp; B6 &amp; "10"))</f>
        <v>#REF!</v>
      </c>
    </row>
    <row r="7" spans="1:3" x14ac:dyDescent="0.25">
      <c r="A7" s="3" t="s">
        <v>12</v>
      </c>
      <c r="B7" t="str">
        <f>SUBSTITUTE(ADDRESS(1, MATCH(A7,[2]BOM_Matrix!$A$1:$J$1,0), 4), "1", "")</f>
        <v>G</v>
      </c>
      <c r="C7" t="e">
        <f ca="1">SUMPRODUCT([2]Material_Config!$I$2:$I$10, INDIRECT("'[planning_input.xlsm]BOM_Matrix'!" &amp; B7 &amp; "2:" &amp; B7 &amp; "10"))</f>
        <v>#REF!</v>
      </c>
    </row>
    <row r="8" spans="1:3" x14ac:dyDescent="0.25">
      <c r="A8" s="3" t="s">
        <v>14</v>
      </c>
      <c r="B8" t="str">
        <f>SUBSTITUTE(ADDRESS(1, MATCH(A8,[2]BOM_Matrix!$A$1:$J$1,0), 4), "1", "")</f>
        <v>H</v>
      </c>
      <c r="C8" t="e">
        <f ca="1">SUMPRODUCT([2]Material_Config!$I$2:$I$10, INDIRECT("'[planning_input.xlsm]BOM_Matrix'!" &amp; B8 &amp; "2:" &amp; B8 &amp; "10"))</f>
        <v>#REF!</v>
      </c>
    </row>
    <row r="9" spans="1:3" x14ac:dyDescent="0.25">
      <c r="A9" s="3" t="s">
        <v>16</v>
      </c>
      <c r="B9" t="str">
        <f>SUBSTITUTE(ADDRESS(1, MATCH(A9,[2]BOM_Matrix!$A$1:$J$1,0), 4), "1", "")</f>
        <v>I</v>
      </c>
      <c r="C9" t="e">
        <f ca="1">SUMPRODUCT([2]Material_Config!$I$2:$I$10, INDIRECT("'[planning_input.xlsm]BOM_Matrix'!" &amp; B9 &amp; "2:" &amp; B9 &amp; "10"))</f>
        <v>#REF!</v>
      </c>
    </row>
    <row r="10" spans="1:3" x14ac:dyDescent="0.25">
      <c r="A10" s="3" t="s">
        <v>18</v>
      </c>
      <c r="B10" t="str">
        <f>SUBSTITUTE(ADDRESS(1, MATCH(A10,[2]BOM_Matrix!$A$1:$J$1,0), 4), "1", "")</f>
        <v>J</v>
      </c>
      <c r="C10" t="e">
        <f ca="1">SUMPRODUCT([2]Material_Config!$I$2:$I$10, INDIRECT("'[planning_input.xlsm]BOM_Matrix'!" &amp; B10 &amp; "2:" &amp; B10 &amp; "10"))</f>
        <v>#REF!</v>
      </c>
    </row>
  </sheetData>
  <conditionalFormatting sqref="A1:A10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Master_List</vt:lpstr>
      <vt:lpstr>Product_Forecast</vt:lpstr>
      <vt:lpstr>POL_Matrix</vt:lpstr>
      <vt:lpstr>Operation_Metrics</vt:lpstr>
      <vt:lpstr>Last_MIP</vt:lpstr>
      <vt:lpstr>Line_Config</vt:lpstr>
      <vt:lpstr>Product_Config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 Khánh Nguyễn</dc:creator>
  <cp:lastModifiedBy>Gia Khánh Nguyễn</cp:lastModifiedBy>
  <dcterms:created xsi:type="dcterms:W3CDTF">2015-06-05T18:17:20Z</dcterms:created>
  <dcterms:modified xsi:type="dcterms:W3CDTF">2026-09-05T06:44:34Z</dcterms:modified>
</cp:coreProperties>
</file>