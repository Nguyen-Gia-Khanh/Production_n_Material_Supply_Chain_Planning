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fhs\Auto\DA projects\Production_n_Material_Supply_Chain_Planning\xlconfigs\"/>
    </mc:Choice>
  </mc:AlternateContent>
  <xr:revisionPtr revIDLastSave="0" documentId="13_ncr:1_{753D1AA2-C353-4A44-A065-B3F040423672}" xr6:coauthVersionLast="47" xr6:coauthVersionMax="47" xr10:uidLastSave="{00000000-0000-0000-0000-000000000000}"/>
  <bookViews>
    <workbookView xWindow="-120" yWindow="-120" windowWidth="20730" windowHeight="11760" activeTab="3" xr2:uid="{00000000-000D-0000-FFFF-FFFF00000000}"/>
  </bookViews>
  <sheets>
    <sheet name="Master_Lists" sheetId="1" r:id="rId1"/>
    <sheet name="Production_Schedule" sheetId="2" r:id="rId2"/>
    <sheet name="BOM_Matrix" sheetId="3" r:id="rId3"/>
    <sheet name="Material_Config" sheetId="4" r:id="rId4"/>
    <sheet name="Sales_Program" sheetId="5" r:id="rId5"/>
  </sheets>
  <calcPr calcId="191029"/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<sst xmlns="http://schemas.openxmlformats.org/spreadsheetml/2006/main" count="74" uniqueCount="34">
  <si>
    <t>Product_List</t>
  </si>
  <si>
    <t>Material_List</t>
  </si>
  <si>
    <t>Capacity</t>
  </si>
  <si>
    <t>Initial_Inv</t>
  </si>
  <si>
    <t>A</t>
  </si>
  <si>
    <t>Paper</t>
  </si>
  <si>
    <t>B</t>
  </si>
  <si>
    <t>String</t>
  </si>
  <si>
    <t>C</t>
  </si>
  <si>
    <t>Glue</t>
  </si>
  <si>
    <t>D</t>
  </si>
  <si>
    <t>Poly Etylen</t>
  </si>
  <si>
    <t>E</t>
  </si>
  <si>
    <t>F</t>
  </si>
  <si>
    <t>G</t>
  </si>
  <si>
    <t>H</t>
  </si>
  <si>
    <t>I</t>
  </si>
  <si>
    <t>Start Date:</t>
  </si>
  <si>
    <t>Product</t>
  </si>
  <si>
    <t>Material / Product</t>
  </si>
  <si>
    <t>Material</t>
  </si>
  <si>
    <t>Initial_Inventory</t>
  </si>
  <si>
    <t>Safety_Stock</t>
  </si>
  <si>
    <t>Lead_Time</t>
  </si>
  <si>
    <t>Min_Order</t>
  </si>
  <si>
    <t>Max_Order</t>
  </si>
  <si>
    <t>Container_Cap</t>
  </si>
  <si>
    <t>Shipping_Cost</t>
  </si>
  <si>
    <t>Purchase_Cost</t>
  </si>
  <si>
    <t>Holding_Cost</t>
  </si>
  <si>
    <t>Warehouse_Space</t>
  </si>
  <si>
    <t>start_range</t>
  </si>
  <si>
    <t>end_range</t>
  </si>
  <si>
    <t>discount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</si>
</sst>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5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color rgb="FFFFFFFF"/>
      <name val="Calibri"/>
    </font>
    <font>
      <sz val="11"/>
      <color rgb="FFFFFFFF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1F4E78"/>
        <bgColor rgb="FF1F4E78"/>
      </patternFill>
    </fill>
  </fills>
  <borders count="4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FFD9D9D9"/>
      </left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1" fillId="0" borderId="0" xfId="0" applyFont="1"/>
    <xf numFmtId="164" fontId="0" fillId="0" borderId="0" xfId="0" applyNumberFormat="1"/>
    <xf numFmtId="0" fontId="0" fillId="0" borderId="2" xfId="0" applyBorder="1"/>
    <xf numFmtId="14" fontId="2" fillId="2" borderId="1" xfId="0" applyNumberFormat="1" applyFont="1" applyFill="1" applyBorder="1" applyAlignment="1">
      <alignment horizontal="center" vertical="center"/>
    </xf>
    <xf numFmtId="16" fontId="2" fillId="2" borderId="1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0" borderId="0" xfId="0" applyFont="1"/>
    <xf numFmtId="0" fontId="4" fillId="0" borderId="0" xfId="0" applyFont="1"/>
    <xf numFmtId="9" fontId="0" fillId="0" borderId="0" xfId="0" applyNumberFormat="1"/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7"/>
  <sheetViews>
    <sheetView workbookViewId="0">
      <selection activeCell="D2" sqref="D2"/>
    </sheetView>
  </sheetViews>
  <sheetFormatPr defaultRowHeight="15" x14ac:dyDescent="0.25"/>
  <cols>
    <col min="1" max="1" width="11.85546875" bestFit="1" customWidth="1"/>
    <col min="2" max="2" width="12.5703125" bestFit="1" customWidth="1"/>
  </cols>
  <sheetData>
    <row r="1" spans="1:4" x14ac:dyDescent="0.25">
      <c r="A1" s="1" t="s">
        <v>0</v>
      </c>
      <c r="B1" s="1" t="s">
        <v>1</v>
      </c>
      <c r="C1" s="9" t="s">
        <v>2</v>
      </c>
      <c r="D1" s="8" t="s">
        <v>3</v>
      </c>
    </row>
    <row r="2" spans="1:4" x14ac:dyDescent="0.25">
      <c r="A2" s="2" t="s">
        <v>4</v>
      </c>
      <c r="B2" t="s">
        <v>5</v>
      </c>
      <c r="C2">
        <v>2000</v>
      </c>
      <c r="D2">
        <f>SUMPRODUCT(Material_Config!B2:B5,Material_Config!K2:K5)</f>
        <v>1190</v>
      </c>
    </row>
    <row r="3" spans="1:4" x14ac:dyDescent="0.25">
      <c r="A3" s="2" t="s">
        <v>6</v>
      </c>
      <c r="B3" t="s">
        <v>7</v>
      </c>
    </row>
    <row r="4" spans="1:4" x14ac:dyDescent="0.25">
      <c r="A4" s="2" t="s">
        <v>8</v>
      </c>
      <c r="B4" t="s">
        <v>9</v>
      </c>
    </row>
    <row r="5" spans="1:4" x14ac:dyDescent="0.25">
      <c r="A5" s="5" t="s">
        <v>10</v>
      </c>
      <c r="B5" t="s">
        <v>11</v>
      </c>
    </row>
    <row r="6" spans="1:4" x14ac:dyDescent="0.25">
      <c r="A6" s="5" t="s">
        <v>12</v>
      </c>
    </row>
    <row r="7" spans="1:4" x14ac:dyDescent="0.25">
      <c r="A7" s="5" t="s">
        <v>13</v>
      </c>
    </row>
    <row r="8" spans="1:4" x14ac:dyDescent="0.25">
      <c r="A8" s="5" t="s">
        <v>14</v>
      </c>
    </row>
    <row r="9" spans="1:4" x14ac:dyDescent="0.25">
      <c r="A9" s="5" t="s">
        <v>15</v>
      </c>
    </row>
    <row r="10" spans="1:4" x14ac:dyDescent="0.25">
      <c r="A10" s="5" t="s">
        <v>16</v>
      </c>
    </row>
    <row r="11" spans="1:4" x14ac:dyDescent="0.25">
      <c r="A11" s="5"/>
    </row>
    <row r="12" spans="1:4" x14ac:dyDescent="0.25">
      <c r="A12" s="5"/>
    </row>
    <row r="13" spans="1:4" x14ac:dyDescent="0.25">
      <c r="A13" s="5"/>
    </row>
    <row r="14" spans="1:4" x14ac:dyDescent="0.25">
      <c r="A14" s="5"/>
    </row>
    <row r="15" spans="1:4" x14ac:dyDescent="0.25">
      <c r="A15" s="5"/>
    </row>
    <row r="16" spans="1:4" x14ac:dyDescent="0.25">
      <c r="A16" s="5"/>
    </row>
    <row r="17" spans="1:1" x14ac:dyDescent="0.25">
      <c r="A17" s="5"/>
    </row>
  </sheetData>
  <conditionalFormatting sqref="B1">
    <cfRule type="duplicateValues" dxfId="2" priority="3"/>
  </conditionalFormatting>
  <conditionalFormatting sqref="A1:A1048576">
    <cfRule type="duplicateValues" dxfId="1" priority="2"/>
  </conditionalFormatting>
  <conditionalFormatting sqref="D2">
    <cfRule type="cellIs" dxfId="0" priority="1" operator="greaterThan">
      <formula>$C$2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12"/>
  <sheetViews>
    <sheetView zoomScaleNormal="100" workbookViewId="0">
      <selection activeCell="E24" sqref="E24"/>
    </sheetView>
  </sheetViews>
  <sheetFormatPr defaultRowHeight="15" x14ac:dyDescent="0.25"/>
  <cols>
    <col min="2" max="2" width="10.7109375" bestFit="1" customWidth="1"/>
    <col min="3" max="31" width="10.85546875" bestFit="1" customWidth="1"/>
  </cols>
  <sheetData>
    <row r="1" spans="1:32" x14ac:dyDescent="0.25">
      <c r="A1" s="3" t="s">
        <v>17</v>
      </c>
      <c r="B1" s="4">
        <v>46266</v>
      </c>
    </row>
    <row r="3" spans="1:32" x14ac:dyDescent="0.25">
      <c r="A3" s="1" t="s">
        <v>18</v>
      </c>
      <c r="B3" s="7">
        <v>46266</v>
      </c>
      <c r="C3" s="7">
        <v>46267</v>
      </c>
      <c r="D3" s="7">
        <v>46268</v>
      </c>
      <c r="E3" s="7">
        <v>46269</v>
      </c>
      <c r="F3" s="7">
        <v>46270</v>
      </c>
      <c r="G3" s="7">
        <v>46271</v>
      </c>
      <c r="H3" s="7">
        <v>46272</v>
      </c>
      <c r="I3" s="7">
        <v>46273</v>
      </c>
      <c r="J3" s="7">
        <v>46274</v>
      </c>
      <c r="K3" s="7">
        <v>46275</v>
      </c>
      <c r="L3" s="7">
        <v>46276</v>
      </c>
      <c r="M3" s="7">
        <v>46277</v>
      </c>
      <c r="N3" s="7">
        <v>46278</v>
      </c>
      <c r="O3" s="7">
        <v>46279</v>
      </c>
      <c r="P3" s="7">
        <v>46280</v>
      </c>
      <c r="Q3" s="7">
        <v>46281</v>
      </c>
      <c r="R3" s="7">
        <v>46282</v>
      </c>
      <c r="S3" s="7">
        <v>46283</v>
      </c>
      <c r="T3" s="7">
        <v>46284</v>
      </c>
      <c r="U3" s="7">
        <v>46285</v>
      </c>
      <c r="V3" s="7">
        <v>46286</v>
      </c>
      <c r="W3" s="7">
        <v>46287</v>
      </c>
      <c r="X3" s="7">
        <v>46288</v>
      </c>
      <c r="Y3" s="7">
        <v>46289</v>
      </c>
      <c r="Z3" s="7">
        <v>46290</v>
      </c>
      <c r="AA3" s="7">
        <v>46291</v>
      </c>
      <c r="AB3" s="7">
        <v>46292</v>
      </c>
      <c r="AC3" s="7">
        <v>46293</v>
      </c>
      <c r="AD3" s="7">
        <v>46294</v>
      </c>
      <c r="AE3" s="7">
        <v>46295</v>
      </c>
      <c r="AF3" s="6"/>
    </row>
    <row r="4" spans="1:32" x14ac:dyDescent="0.25">
      <c r="A4" s="2" t="s">
        <v>4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>
        <v>0</v>
      </c>
      <c r="O4" s="2">
        <v>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2"/>
    </row>
    <row r="5" spans="1:32" x14ac:dyDescent="0.25">
      <c r="A5" s="2" t="s">
        <v>6</v>
      </c>
      <c r="B5" s="2">
        <v>251416</v>
      </c>
      <c r="C5" s="2">
        <v>0</v>
      </c>
      <c r="D5" s="2">
        <v>960000</v>
      </c>
      <c r="E5" s="2">
        <v>0</v>
      </c>
      <c r="F5" s="2">
        <v>0</v>
      </c>
      <c r="G5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>
        <v>0</v>
      </c>
      <c r="O5" s="2">
        <v>0</v>
      </c>
      <c r="P5" s="2">
        <v>0</v>
      </c>
      <c r="Q5" s="2">
        <v>0</v>
      </c>
      <c r="R5" s="2">
        <v>960000</v>
      </c>
      <c r="S5" s="2">
        <v>928584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/>
    </row>
    <row r="6" spans="1:32" x14ac:dyDescent="0.25">
      <c r="A6" s="2" t="s">
        <v>8</v>
      </c>
      <c r="B6" s="2">
        <v>0</v>
      </c>
      <c r="C6" s="2">
        <v>218763</v>
      </c>
      <c r="D6" s="2">
        <v>0</v>
      </c>
      <c r="E6" s="2">
        <v>720000</v>
      </c>
      <c r="F6" s="2">
        <v>0</v>
      </c>
      <c r="G6">
        <v>0</v>
      </c>
      <c r="H6" s="2">
        <v>0</v>
      </c>
      <c r="I6" s="2">
        <v>719000</v>
      </c>
      <c r="J6" s="2">
        <v>720000</v>
      </c>
      <c r="K6" s="2">
        <v>0</v>
      </c>
      <c r="L6">
        <v>720000</v>
      </c>
      <c r="M6" s="2">
        <v>0</v>
      </c>
      <c r="N6">
        <v>0</v>
      </c>
      <c r="O6" s="2">
        <v>0</v>
      </c>
      <c r="P6" s="2">
        <v>717646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717127</v>
      </c>
      <c r="AA6" s="2">
        <v>0</v>
      </c>
      <c r="AB6" s="2">
        <v>0</v>
      </c>
      <c r="AC6" s="2">
        <v>0</v>
      </c>
      <c r="AD6" s="2">
        <v>0</v>
      </c>
      <c r="AE6" s="2">
        <v>31464</v>
      </c>
      <c r="AF6" s="2"/>
    </row>
    <row r="7" spans="1:32" x14ac:dyDescent="0.25">
      <c r="A7" t="s">
        <v>10</v>
      </c>
      <c r="B7" s="2">
        <v>0</v>
      </c>
      <c r="C7">
        <v>292910</v>
      </c>
      <c r="D7">
        <v>0</v>
      </c>
      <c r="E7">
        <v>0</v>
      </c>
      <c r="F7">
        <v>0</v>
      </c>
      <c r="G7">
        <v>0</v>
      </c>
      <c r="H7">
        <v>0</v>
      </c>
      <c r="I7" s="2">
        <v>0</v>
      </c>
      <c r="J7">
        <v>0</v>
      </c>
      <c r="K7" s="2">
        <v>2090</v>
      </c>
      <c r="L7" s="2">
        <v>0</v>
      </c>
      <c r="M7" s="2">
        <v>0</v>
      </c>
      <c r="N7">
        <v>0</v>
      </c>
      <c r="O7" s="2">
        <v>0</v>
      </c>
      <c r="P7">
        <v>0</v>
      </c>
      <c r="Q7" s="2">
        <v>0</v>
      </c>
      <c r="R7" s="2">
        <v>0</v>
      </c>
      <c r="S7" s="2">
        <v>0</v>
      </c>
      <c r="T7" s="2">
        <v>0</v>
      </c>
      <c r="U7">
        <v>0</v>
      </c>
      <c r="V7" s="2">
        <v>0</v>
      </c>
      <c r="W7">
        <v>0</v>
      </c>
      <c r="X7" s="2">
        <v>0</v>
      </c>
      <c r="Y7">
        <v>0</v>
      </c>
      <c r="Z7" s="2">
        <v>0</v>
      </c>
      <c r="AA7">
        <v>0</v>
      </c>
      <c r="AB7">
        <v>0</v>
      </c>
      <c r="AC7" s="2">
        <v>0</v>
      </c>
      <c r="AD7" s="2">
        <v>0</v>
      </c>
      <c r="AE7" s="2">
        <v>0</v>
      </c>
    </row>
    <row r="8" spans="1:32" x14ac:dyDescent="0.25">
      <c r="A8" t="s">
        <v>12</v>
      </c>
      <c r="B8" s="2">
        <v>0</v>
      </c>
      <c r="C8">
        <v>60454</v>
      </c>
      <c r="D8">
        <v>0</v>
      </c>
      <c r="E8">
        <v>0</v>
      </c>
      <c r="F8">
        <v>0</v>
      </c>
      <c r="G8">
        <v>0</v>
      </c>
      <c r="H8">
        <v>0</v>
      </c>
      <c r="I8" s="2">
        <v>1000</v>
      </c>
      <c r="J8">
        <v>0</v>
      </c>
      <c r="K8" s="2">
        <v>0</v>
      </c>
      <c r="L8" s="5">
        <v>0</v>
      </c>
      <c r="M8" s="2">
        <v>0</v>
      </c>
      <c r="N8">
        <v>188596</v>
      </c>
      <c r="O8" s="2">
        <v>0</v>
      </c>
      <c r="P8">
        <v>2354</v>
      </c>
      <c r="Q8" s="2">
        <v>0</v>
      </c>
      <c r="R8" s="2">
        <v>0</v>
      </c>
      <c r="S8" s="2">
        <v>0</v>
      </c>
      <c r="T8" s="2">
        <v>0</v>
      </c>
      <c r="U8">
        <v>0</v>
      </c>
      <c r="V8" s="2">
        <v>0</v>
      </c>
      <c r="W8">
        <v>3511</v>
      </c>
      <c r="X8" s="2">
        <v>0</v>
      </c>
      <c r="Y8">
        <v>0</v>
      </c>
      <c r="Z8" s="2">
        <v>0</v>
      </c>
      <c r="AA8">
        <v>0</v>
      </c>
      <c r="AB8">
        <v>0</v>
      </c>
      <c r="AC8" s="2">
        <v>0</v>
      </c>
      <c r="AD8" s="2">
        <v>0</v>
      </c>
      <c r="AE8" s="2">
        <v>0</v>
      </c>
    </row>
    <row r="9" spans="1:32" x14ac:dyDescent="0.25">
      <c r="A9" t="s">
        <v>13</v>
      </c>
      <c r="B9" s="2">
        <v>274000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 s="2">
        <v>0</v>
      </c>
      <c r="J9">
        <v>0</v>
      </c>
      <c r="K9" s="2">
        <v>0</v>
      </c>
      <c r="L9">
        <v>0</v>
      </c>
      <c r="M9" s="2">
        <v>960000</v>
      </c>
      <c r="N9">
        <v>0</v>
      </c>
      <c r="O9" s="2">
        <v>0</v>
      </c>
      <c r="P9">
        <v>0</v>
      </c>
      <c r="Q9">
        <v>0</v>
      </c>
      <c r="R9">
        <v>0</v>
      </c>
      <c r="S9">
        <v>0</v>
      </c>
      <c r="T9" s="2">
        <v>0</v>
      </c>
      <c r="U9">
        <v>0</v>
      </c>
      <c r="V9" s="2">
        <v>0</v>
      </c>
      <c r="W9">
        <v>0</v>
      </c>
      <c r="X9" s="2">
        <v>0</v>
      </c>
      <c r="Y9">
        <v>0</v>
      </c>
      <c r="Z9" s="2">
        <v>0</v>
      </c>
      <c r="AA9">
        <v>0</v>
      </c>
      <c r="AB9">
        <v>0</v>
      </c>
      <c r="AC9" s="2">
        <v>0</v>
      </c>
      <c r="AD9">
        <v>0</v>
      </c>
      <c r="AE9" s="2">
        <v>0</v>
      </c>
    </row>
    <row r="10" spans="1:32" x14ac:dyDescent="0.25">
      <c r="A10" t="s">
        <v>14</v>
      </c>
      <c r="B10" s="2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 s="2">
        <v>0</v>
      </c>
      <c r="J10">
        <v>0</v>
      </c>
      <c r="K10" s="2">
        <v>0</v>
      </c>
      <c r="L10">
        <v>0</v>
      </c>
      <c r="M10" s="2">
        <v>0</v>
      </c>
      <c r="N10">
        <v>0</v>
      </c>
      <c r="O10" s="2">
        <v>0</v>
      </c>
      <c r="P10">
        <v>0</v>
      </c>
      <c r="Q10">
        <v>0</v>
      </c>
      <c r="R10">
        <v>0</v>
      </c>
      <c r="S10">
        <v>0</v>
      </c>
      <c r="T10" s="2">
        <v>0</v>
      </c>
      <c r="U10">
        <v>0</v>
      </c>
      <c r="V10" s="2">
        <v>0</v>
      </c>
      <c r="W10">
        <v>0</v>
      </c>
      <c r="X10" s="2">
        <v>0</v>
      </c>
      <c r="Y10">
        <v>0</v>
      </c>
      <c r="Z10" s="2">
        <v>0</v>
      </c>
      <c r="AA10">
        <v>0</v>
      </c>
      <c r="AB10">
        <v>0</v>
      </c>
      <c r="AC10" s="2">
        <v>0</v>
      </c>
      <c r="AD10">
        <v>0</v>
      </c>
      <c r="AE10" s="2">
        <v>0</v>
      </c>
    </row>
    <row r="11" spans="1:32" x14ac:dyDescent="0.25">
      <c r="A11" t="s">
        <v>15</v>
      </c>
      <c r="B11" s="2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 s="2">
        <v>0</v>
      </c>
      <c r="J11">
        <v>0</v>
      </c>
      <c r="K11" s="2">
        <v>0</v>
      </c>
      <c r="L11">
        <v>0</v>
      </c>
      <c r="M11" s="2">
        <v>0</v>
      </c>
      <c r="N11">
        <v>0</v>
      </c>
      <c r="O11" s="2">
        <v>0</v>
      </c>
      <c r="P11">
        <v>0</v>
      </c>
      <c r="Q11">
        <v>0</v>
      </c>
      <c r="R11">
        <v>0</v>
      </c>
      <c r="S11">
        <v>0</v>
      </c>
      <c r="T11" s="2">
        <v>0</v>
      </c>
      <c r="U11">
        <v>0</v>
      </c>
      <c r="V11" s="2">
        <v>0</v>
      </c>
      <c r="W11">
        <v>0</v>
      </c>
      <c r="X11" s="2">
        <v>0</v>
      </c>
      <c r="Y11">
        <v>0</v>
      </c>
      <c r="Z11" s="2">
        <v>0</v>
      </c>
      <c r="AA11">
        <v>0</v>
      </c>
      <c r="AB11">
        <v>0</v>
      </c>
      <c r="AC11" s="2">
        <v>0</v>
      </c>
      <c r="AD11">
        <v>0</v>
      </c>
      <c r="AE11" s="2">
        <v>0</v>
      </c>
    </row>
    <row r="12" spans="1:32" x14ac:dyDescent="0.25">
      <c r="A12" t="s">
        <v>16</v>
      </c>
      <c r="B12" s="2">
        <v>325938</v>
      </c>
      <c r="C12">
        <v>0</v>
      </c>
      <c r="D12">
        <v>0</v>
      </c>
      <c r="E12">
        <v>0</v>
      </c>
      <c r="F12">
        <v>0</v>
      </c>
      <c r="G12">
        <v>0</v>
      </c>
      <c r="H12">
        <v>720000</v>
      </c>
      <c r="I12" s="2">
        <v>0</v>
      </c>
      <c r="J12">
        <v>0</v>
      </c>
      <c r="K12" s="2">
        <v>716865</v>
      </c>
      <c r="L12">
        <v>0</v>
      </c>
      <c r="M12" s="2">
        <v>0</v>
      </c>
      <c r="N12">
        <v>531404</v>
      </c>
      <c r="O12" s="2">
        <v>720000</v>
      </c>
      <c r="P12">
        <v>0</v>
      </c>
      <c r="Q12">
        <v>720000</v>
      </c>
      <c r="R12">
        <v>0</v>
      </c>
      <c r="S12">
        <v>23562</v>
      </c>
      <c r="T12" s="2">
        <v>0</v>
      </c>
      <c r="U12">
        <v>0</v>
      </c>
      <c r="V12" s="2">
        <v>719914</v>
      </c>
      <c r="W12">
        <v>715908</v>
      </c>
      <c r="X12" s="2">
        <v>720000</v>
      </c>
      <c r="Y12">
        <v>720000</v>
      </c>
      <c r="Z12" s="2">
        <v>2873</v>
      </c>
      <c r="AA12">
        <v>0</v>
      </c>
      <c r="AB12">
        <v>0</v>
      </c>
      <c r="AC12" s="2">
        <v>720000</v>
      </c>
      <c r="AD12">
        <v>720000</v>
      </c>
      <c r="AE12" s="2">
        <v>688536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5"/>
  <sheetViews>
    <sheetView workbookViewId="0">
      <selection activeCell="G24" sqref="G24"/>
    </sheetView>
  </sheetViews>
  <sheetFormatPr defaultRowHeight="15" x14ac:dyDescent="0.25"/>
  <cols>
    <col min="1" max="1" width="17.42578125" bestFit="1" customWidth="1"/>
  </cols>
  <sheetData>
    <row r="1" spans="1:10" x14ac:dyDescent="0.25">
      <c r="A1" s="1" t="s">
        <v>19</v>
      </c>
      <c r="B1" s="1" t="s">
        <v>4</v>
      </c>
      <c r="C1" s="1" t="s">
        <v>6</v>
      </c>
      <c r="D1" s="1" t="s">
        <v>8</v>
      </c>
      <c r="E1" s="1" t="s">
        <v>10</v>
      </c>
      <c r="F1" s="1" t="s">
        <v>12</v>
      </c>
      <c r="G1" s="1" t="s">
        <v>13</v>
      </c>
      <c r="H1" s="1" t="s">
        <v>14</v>
      </c>
      <c r="I1" s="1" t="s">
        <v>15</v>
      </c>
      <c r="J1" s="1" t="s">
        <v>16</v>
      </c>
    </row>
    <row r="2" spans="1:10" x14ac:dyDescent="0.25">
      <c r="A2" t="s">
        <v>5</v>
      </c>
      <c r="B2">
        <v>0.01</v>
      </c>
      <c r="C2">
        <v>0.01</v>
      </c>
      <c r="D2">
        <v>6.0000000000000001E-3</v>
      </c>
      <c r="E2">
        <v>0.02</v>
      </c>
      <c r="F2">
        <v>0.01</v>
      </c>
      <c r="G2">
        <v>0.01</v>
      </c>
      <c r="H2">
        <v>8.0000000000000002E-3</v>
      </c>
      <c r="I2">
        <v>0.01</v>
      </c>
      <c r="J2">
        <v>0.01</v>
      </c>
    </row>
    <row r="3" spans="1:10" x14ac:dyDescent="0.25">
      <c r="A3" t="s">
        <v>7</v>
      </c>
      <c r="B3">
        <v>2E-3</v>
      </c>
      <c r="C3">
        <v>2E-3</v>
      </c>
      <c r="D3">
        <v>2E-3</v>
      </c>
      <c r="E3">
        <v>3.0000000000000001E-3</v>
      </c>
      <c r="F3">
        <v>2E-3</v>
      </c>
      <c r="G3">
        <v>2E-3</v>
      </c>
      <c r="H3">
        <v>2E-3</v>
      </c>
      <c r="I3">
        <v>2E-3</v>
      </c>
      <c r="J3">
        <v>2E-3</v>
      </c>
    </row>
    <row r="4" spans="1:10" x14ac:dyDescent="0.25">
      <c r="A4" t="s">
        <v>9</v>
      </c>
      <c r="B4">
        <v>0</v>
      </c>
      <c r="C4">
        <v>0</v>
      </c>
      <c r="D4">
        <v>1E-3</v>
      </c>
      <c r="E4">
        <v>3.0000000000000001E-3</v>
      </c>
      <c r="F4">
        <v>1E-3</v>
      </c>
      <c r="G4">
        <v>0</v>
      </c>
      <c r="H4">
        <v>0</v>
      </c>
      <c r="I4">
        <v>0</v>
      </c>
      <c r="J4">
        <v>0</v>
      </c>
    </row>
    <row r="5" spans="1:10" x14ac:dyDescent="0.25">
      <c r="A5" t="s">
        <v>11</v>
      </c>
      <c r="B5">
        <v>0</v>
      </c>
      <c r="C5">
        <v>8.0000000000000002E-3</v>
      </c>
      <c r="D5">
        <v>0</v>
      </c>
      <c r="E5">
        <v>1.7999999999999999E-2</v>
      </c>
      <c r="F5">
        <v>0</v>
      </c>
      <c r="G5">
        <v>0</v>
      </c>
      <c r="H5">
        <v>6.9999999999999993E-3</v>
      </c>
      <c r="I5">
        <v>0</v>
      </c>
      <c r="J5">
        <v>0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5"/>
  <sheetViews>
    <sheetView tabSelected="1" workbookViewId="0">
      <selection activeCell="B6" sqref="B6"/>
    </sheetView>
  </sheetViews>
  <sheetFormatPr defaultRowHeight="15" x14ac:dyDescent="0.25"/>
  <cols>
    <col min="2" max="11" width="15.7109375" customWidth="1"/>
  </cols>
  <sheetData>
    <row r="1" spans="1:11" x14ac:dyDescent="0.25">
      <c r="A1" s="1" t="s">
        <v>20</v>
      </c>
      <c r="B1" s="1" t="s">
        <v>21</v>
      </c>
      <c r="C1" s="1" t="s">
        <v>22</v>
      </c>
      <c r="D1" s="1" t="s">
        <v>23</v>
      </c>
      <c r="E1" s="1" t="s">
        <v>24</v>
      </c>
      <c r="F1" s="1" t="s">
        <v>25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</row>
    <row r="2" spans="1:11" x14ac:dyDescent="0.25">
      <c r="A2" t="s">
        <v>5</v>
      </c>
      <c r="B2">
        <v>55000</v>
      </c>
      <c r="C2">
        <v>20000</v>
      </c>
      <c r="D2">
        <v>6</v>
      </c>
      <c r="E2">
        <v>1000</v>
      </c>
      <c r="F2">
        <v>14000</v>
      </c>
      <c r="G2">
        <v>3000</v>
      </c>
      <c r="H2">
        <v>145000</v>
      </c>
      <c r="I2">
        <v>300</v>
      </c>
      <c r="J2">
        <v>0</v>
      </c>
      <c r="K2">
        <v>0.01</v>
      </c>
    </row>
    <row r="3" spans="1:11" x14ac:dyDescent="0.25">
      <c r="A3" t="s">
        <v>7</v>
      </c>
      <c r="B3">
        <v>20000</v>
      </c>
      <c r="C3">
        <v>12000</v>
      </c>
      <c r="D3">
        <v>4</v>
      </c>
      <c r="E3">
        <v>1000</v>
      </c>
      <c r="F3">
        <v>28000</v>
      </c>
      <c r="G3">
        <v>5000</v>
      </c>
      <c r="H3">
        <v>137000</v>
      </c>
      <c r="I3">
        <v>20</v>
      </c>
      <c r="J3">
        <v>0</v>
      </c>
      <c r="K3">
        <v>0.01</v>
      </c>
    </row>
    <row r="4" spans="1:11" x14ac:dyDescent="0.25">
      <c r="A4" t="s">
        <v>9</v>
      </c>
      <c r="B4">
        <v>13000</v>
      </c>
      <c r="C4">
        <v>8000</v>
      </c>
      <c r="D4">
        <v>12</v>
      </c>
      <c r="E4">
        <v>80</v>
      </c>
      <c r="F4">
        <v>8000</v>
      </c>
      <c r="G4">
        <v>4000</v>
      </c>
      <c r="H4">
        <v>184000</v>
      </c>
      <c r="I4">
        <v>40</v>
      </c>
      <c r="J4">
        <v>0</v>
      </c>
      <c r="K4">
        <v>0.02</v>
      </c>
    </row>
    <row r="5" spans="1:11" x14ac:dyDescent="0.25">
      <c r="A5" t="s">
        <v>11</v>
      </c>
      <c r="B5">
        <v>18000</v>
      </c>
      <c r="C5">
        <v>3000</v>
      </c>
      <c r="D5">
        <v>6</v>
      </c>
      <c r="E5">
        <v>1200</v>
      </c>
      <c r="F5">
        <v>14000</v>
      </c>
      <c r="G5">
        <v>2000</v>
      </c>
      <c r="H5">
        <v>194000</v>
      </c>
      <c r="I5">
        <v>500</v>
      </c>
      <c r="J5">
        <v>0</v>
      </c>
      <c r="K5">
        <v>0.01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4"/>
  <sheetViews>
    <sheetView workbookViewId="0">
      <selection activeCell="A16" sqref="A16:D16"/>
    </sheetView>
  </sheetViews>
  <sheetFormatPr defaultRowHeight="15" x14ac:dyDescent="0.25"/>
  <cols>
    <col min="2" max="2" width="11" bestFit="1" customWidth="1"/>
    <col min="3" max="3" width="10.42578125" bestFit="1" customWidth="1"/>
    <col min="4" max="4" width="9.28515625" bestFit="1" customWidth="1"/>
  </cols>
  <sheetData>
    <row r="1" spans="1:4" x14ac:dyDescent="0.25">
      <c r="A1" s="1" t="s">
        <v>20</v>
      </c>
      <c r="B1" s="1" t="s">
        <v>31</v>
      </c>
      <c r="C1" s="1" t="s">
        <v>32</v>
      </c>
      <c r="D1" s="1" t="s">
        <v>33</v>
      </c>
    </row>
    <row r="2" spans="1:4" x14ac:dyDescent="0.25">
      <c r="A2" s="11" t="s">
        <v>5</v>
      </c>
      <c r="B2" s="11">
        <v>0</v>
      </c>
      <c r="C2">
        <v>0.7</v>
      </c>
      <c r="D2">
        <v>0</v>
      </c>
    </row>
    <row r="3" spans="1:4" x14ac:dyDescent="0.25">
      <c r="A3" s="10" t="s">
        <v>5</v>
      </c>
      <c r="B3" s="11">
        <v>0.7</v>
      </c>
      <c r="C3">
        <v>1</v>
      </c>
      <c r="D3" s="12">
        <v>0.01</v>
      </c>
    </row>
    <row r="4" spans="1:4" x14ac:dyDescent="0.25">
      <c r="A4" s="10" t="s">
        <v>5</v>
      </c>
      <c r="B4" s="11"/>
      <c r="D4">
        <v>0</v>
      </c>
    </row>
    <row r="5" spans="1:4" x14ac:dyDescent="0.25">
      <c r="A5" s="11" t="s">
        <v>7</v>
      </c>
      <c r="B5" s="11">
        <v>0</v>
      </c>
      <c r="C5">
        <v>0.5</v>
      </c>
      <c r="D5">
        <v>0</v>
      </c>
    </row>
    <row r="6" spans="1:4" x14ac:dyDescent="0.25">
      <c r="A6" s="10" t="s">
        <v>7</v>
      </c>
      <c r="B6" s="11">
        <v>0.5</v>
      </c>
      <c r="C6">
        <v>1</v>
      </c>
      <c r="D6" s="12">
        <v>0.02</v>
      </c>
    </row>
    <row r="7" spans="1:4" x14ac:dyDescent="0.25">
      <c r="A7" s="10" t="s">
        <v>7</v>
      </c>
      <c r="B7" s="11"/>
      <c r="D7">
        <v>0</v>
      </c>
    </row>
    <row r="8" spans="1:4" x14ac:dyDescent="0.25">
      <c r="A8" s="11" t="s">
        <v>9</v>
      </c>
      <c r="B8" s="11">
        <v>0</v>
      </c>
      <c r="C8">
        <v>0.5</v>
      </c>
      <c r="D8" s="12">
        <v>0.01</v>
      </c>
    </row>
    <row r="9" spans="1:4" x14ac:dyDescent="0.25">
      <c r="A9" s="10" t="s">
        <v>9</v>
      </c>
      <c r="B9" s="11">
        <v>0.5</v>
      </c>
      <c r="C9">
        <v>0.7</v>
      </c>
      <c r="D9" s="12">
        <v>0.02</v>
      </c>
    </row>
    <row r="10" spans="1:4" x14ac:dyDescent="0.25">
      <c r="A10" s="10" t="s">
        <v>9</v>
      </c>
      <c r="B10" s="11">
        <v>0.7</v>
      </c>
      <c r="C10">
        <v>1</v>
      </c>
      <c r="D10">
        <v>0</v>
      </c>
    </row>
    <row r="11" spans="1:4" x14ac:dyDescent="0.25">
      <c r="A11" s="10" t="s">
        <v>9</v>
      </c>
      <c r="B11" s="11"/>
      <c r="D11">
        <v>0</v>
      </c>
    </row>
    <row r="12" spans="1:4" x14ac:dyDescent="0.25">
      <c r="A12" s="11" t="s">
        <v>11</v>
      </c>
      <c r="B12" s="11">
        <v>0</v>
      </c>
      <c r="C12">
        <v>0.7</v>
      </c>
      <c r="D12">
        <v>0</v>
      </c>
    </row>
    <row r="13" spans="1:4" x14ac:dyDescent="0.25">
      <c r="A13" s="10" t="s">
        <v>11</v>
      </c>
      <c r="B13" s="11">
        <v>0.7</v>
      </c>
      <c r="C13">
        <v>1</v>
      </c>
      <c r="D13" s="12">
        <v>0.01</v>
      </c>
    </row>
    <row r="14" spans="1:4" x14ac:dyDescent="0.25">
      <c r="A14" s="10" t="s">
        <v>11</v>
      </c>
      <c r="B14" s="11"/>
      <c r="D1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Master_Lists</vt:lpstr>
      <vt:lpstr>Production_Schedule</vt:lpstr>
      <vt:lpstr>BOM_Matrix</vt:lpstr>
      <vt:lpstr>Material_Config</vt:lpstr>
      <vt:lpstr>Sales_Program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Gia Khánh Nguyễn</cp:lastModifiedBy>
  <dcterms:created xsi:type="dcterms:W3CDTF">2026-08-31T17:45:50Z</dcterms:created>
  <dcterms:modified xsi:type="dcterms:W3CDTF">2026-09-06T15:08:14Z</dcterms:modified>
</cp:coreProperties>
</file>