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fhs\Auto\DA projects\Supply Chain test\xlconfigs\"/>
    </mc:Choice>
  </mc:AlternateContent>
  <xr:revisionPtr revIDLastSave="0" documentId="13_ncr:1_{F4BA43AE-78CE-46AC-9C51-C5508ECAD93D}" xr6:coauthVersionLast="47" xr6:coauthVersionMax="47" xr10:uidLastSave="{00000000-0000-0000-0000-000000000000}"/>
  <bookViews>
    <workbookView xWindow="-120" yWindow="-120" windowWidth="20730" windowHeight="11760" xr2:uid="{8490B21B-0890-4720-9CD8-590740FFB22B}"/>
  </bookViews>
  <sheets>
    <sheet name="Shift_Data" sheetId="1" r:id="rId1"/>
    <sheet name="Expanded_Details" sheetId="8" r:id="rId2"/>
    <sheet name="Work_Off" sheetId="2" r:id="rId3"/>
    <sheet name="OT_Off" sheetId="4" r:id="rId4"/>
    <sheet name="Work_Total" sheetId="3" r:id="rId5"/>
    <sheet name="OT_Total" sheetId="5" r:id="rId6"/>
  </sheet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2" i="8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  <c r="J24" i="3" l="1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N24" i="2"/>
  <c r="O24" i="2"/>
  <c r="AB24" i="2"/>
  <c r="AC24" i="2"/>
  <c r="AI24" i="2"/>
  <c r="AJ24" i="2"/>
  <c r="N6" i="2"/>
  <c r="O6" i="2"/>
  <c r="AB6" i="2"/>
  <c r="AC6" i="2"/>
  <c r="AI6" i="2"/>
  <c r="AJ6" i="2"/>
  <c r="N7" i="2"/>
  <c r="O7" i="2"/>
  <c r="AB7" i="2"/>
  <c r="AC7" i="2"/>
  <c r="AI7" i="2"/>
  <c r="AJ7" i="2"/>
  <c r="N8" i="2"/>
  <c r="O8" i="2"/>
  <c r="AB8" i="2"/>
  <c r="AC8" i="2"/>
  <c r="AI8" i="2"/>
  <c r="AJ8" i="2"/>
  <c r="N9" i="2"/>
  <c r="O9" i="2"/>
  <c r="AB9" i="2"/>
  <c r="AC9" i="2"/>
  <c r="AI9" i="2"/>
  <c r="AJ9" i="2"/>
  <c r="N10" i="2"/>
  <c r="O10" i="2"/>
  <c r="AB10" i="2"/>
  <c r="AC10" i="2"/>
  <c r="AI10" i="2"/>
  <c r="AJ10" i="2"/>
  <c r="N11" i="2"/>
  <c r="O11" i="2"/>
  <c r="AB11" i="2"/>
  <c r="AC11" i="2"/>
  <c r="AI11" i="2"/>
  <c r="AJ11" i="2"/>
  <c r="N12" i="2"/>
  <c r="O12" i="2"/>
  <c r="AB12" i="2"/>
  <c r="AC12" i="2"/>
  <c r="AI12" i="2"/>
  <c r="AJ12" i="2"/>
  <c r="N13" i="2"/>
  <c r="O13" i="2"/>
  <c r="AB13" i="2"/>
  <c r="AC13" i="2"/>
  <c r="AI13" i="2"/>
  <c r="AJ13" i="2"/>
  <c r="N14" i="2"/>
  <c r="O14" i="2"/>
  <c r="AB14" i="2"/>
  <c r="AC14" i="2"/>
  <c r="AI14" i="2"/>
  <c r="AJ14" i="2"/>
  <c r="N15" i="2"/>
  <c r="O15" i="2"/>
  <c r="AB15" i="2"/>
  <c r="AC15" i="2"/>
  <c r="AI15" i="2"/>
  <c r="AJ15" i="2"/>
  <c r="N16" i="2"/>
  <c r="O16" i="2"/>
  <c r="AB16" i="2"/>
  <c r="AC16" i="2"/>
  <c r="AI16" i="2"/>
  <c r="AJ16" i="2"/>
  <c r="N17" i="2"/>
  <c r="O17" i="2"/>
  <c r="AB17" i="2"/>
  <c r="AC17" i="2"/>
  <c r="AI17" i="2"/>
  <c r="AJ17" i="2"/>
  <c r="N18" i="2"/>
  <c r="O18" i="2"/>
  <c r="AB18" i="2"/>
  <c r="AC18" i="2"/>
  <c r="AI18" i="2"/>
  <c r="AJ18" i="2"/>
  <c r="N19" i="2"/>
  <c r="O19" i="2"/>
  <c r="AB19" i="2"/>
  <c r="AC19" i="2"/>
  <c r="AI19" i="2"/>
  <c r="AJ19" i="2"/>
  <c r="N20" i="2"/>
  <c r="O20" i="2"/>
  <c r="AB20" i="2"/>
  <c r="AC20" i="2"/>
  <c r="AI20" i="2"/>
  <c r="AJ20" i="2"/>
  <c r="N21" i="2"/>
  <c r="O21" i="2"/>
  <c r="AB21" i="2"/>
  <c r="AC21" i="2"/>
  <c r="AI21" i="2"/>
  <c r="AJ21" i="2"/>
  <c r="N22" i="2"/>
  <c r="O22" i="2"/>
  <c r="AB22" i="2"/>
  <c r="AC22" i="2"/>
  <c r="AI22" i="2"/>
  <c r="AJ22" i="2"/>
  <c r="N23" i="2"/>
  <c r="O23" i="2"/>
  <c r="AB23" i="2"/>
  <c r="AC23" i="2"/>
  <c r="AI23" i="2"/>
  <c r="AJ23" i="2"/>
  <c r="N5" i="2"/>
  <c r="N5" i="3" s="1"/>
  <c r="O5" i="2"/>
  <c r="O5" i="3" s="1"/>
  <c r="AB5" i="2"/>
  <c r="AB5" i="3" s="1"/>
  <c r="AC5" i="2"/>
  <c r="AC5" i="3" s="1"/>
  <c r="AI5" i="2"/>
  <c r="AI5" i="3" s="1"/>
  <c r="AJ5" i="2"/>
  <c r="AJ5" i="3" s="1"/>
  <c r="A3" i="8"/>
  <c r="B3" i="8"/>
  <c r="D3" i="8" s="1"/>
  <c r="A4" i="8"/>
  <c r="B4" i="8"/>
  <c r="A5" i="8"/>
  <c r="B5" i="8"/>
  <c r="D5" i="8" s="1"/>
  <c r="A6" i="8"/>
  <c r="C6" i="8" s="1"/>
  <c r="B6" i="8"/>
  <c r="D6" i="8"/>
  <c r="A7" i="8"/>
  <c r="C7" i="8" s="1"/>
  <c r="B7" i="8"/>
  <c r="D7" i="8" s="1"/>
  <c r="A8" i="8"/>
  <c r="B8" i="8"/>
  <c r="C8" i="8" s="1"/>
  <c r="A9" i="8"/>
  <c r="C9" i="8" s="1"/>
  <c r="B9" i="8"/>
  <c r="D9" i="8" s="1"/>
  <c r="A10" i="8"/>
  <c r="B10" i="8"/>
  <c r="D10" i="8" s="1"/>
  <c r="A11" i="8"/>
  <c r="C11" i="8" s="1"/>
  <c r="B11" i="8"/>
  <c r="D11" i="8" s="1"/>
  <c r="A12" i="8"/>
  <c r="B12" i="8"/>
  <c r="D12" i="8" s="1"/>
  <c r="A13" i="8"/>
  <c r="C13" i="8" s="1"/>
  <c r="B13" i="8"/>
  <c r="D13" i="8" s="1"/>
  <c r="A14" i="8"/>
  <c r="B14" i="8"/>
  <c r="D14" i="8"/>
  <c r="A15" i="8"/>
  <c r="B15" i="8"/>
  <c r="D15" i="8" s="1"/>
  <c r="A16" i="8"/>
  <c r="B16" i="8"/>
  <c r="D16" i="8" s="1"/>
  <c r="A17" i="8"/>
  <c r="C17" i="8" s="1"/>
  <c r="B17" i="8"/>
  <c r="D17" i="8" s="1"/>
  <c r="A18" i="8"/>
  <c r="C18" i="8" s="1"/>
  <c r="B18" i="8"/>
  <c r="D18" i="8"/>
  <c r="A19" i="8"/>
  <c r="C19" i="8" s="1"/>
  <c r="B19" i="8"/>
  <c r="D19" i="8" s="1"/>
  <c r="A20" i="8"/>
  <c r="C20" i="8" s="1"/>
  <c r="B20" i="8"/>
  <c r="D20" i="8" s="1"/>
  <c r="A21" i="8"/>
  <c r="B21" i="8"/>
  <c r="D21" i="8" s="1"/>
  <c r="C21" i="8"/>
  <c r="A22" i="8"/>
  <c r="C22" i="8" s="1"/>
  <c r="B22" i="8"/>
  <c r="D22" i="8" s="1"/>
  <c r="A23" i="8"/>
  <c r="B23" i="8"/>
  <c r="D23" i="8" s="1"/>
  <c r="A24" i="8"/>
  <c r="B24" i="8"/>
  <c r="D24" i="8" s="1"/>
  <c r="A25" i="8"/>
  <c r="B25" i="8"/>
  <c r="C25" i="8"/>
  <c r="D25" i="8"/>
  <c r="A26" i="8"/>
  <c r="B26" i="8"/>
  <c r="D26" i="8" s="1"/>
  <c r="A27" i="8"/>
  <c r="C27" i="8" s="1"/>
  <c r="B27" i="8"/>
  <c r="D27" i="8" s="1"/>
  <c r="A28" i="8"/>
  <c r="C28" i="8" s="1"/>
  <c r="B28" i="8"/>
  <c r="D28" i="8" s="1"/>
  <c r="A29" i="8"/>
  <c r="B29" i="8"/>
  <c r="D29" i="8"/>
  <c r="A30" i="8"/>
  <c r="C30" i="8" s="1"/>
  <c r="B30" i="8"/>
  <c r="D30" i="8"/>
  <c r="A31" i="8"/>
  <c r="B31" i="8"/>
  <c r="D31" i="8" s="1"/>
  <c r="A32" i="8"/>
  <c r="B32" i="8"/>
  <c r="D32" i="8" s="1"/>
  <c r="A33" i="8"/>
  <c r="B33" i="8"/>
  <c r="C33" i="8" s="1"/>
  <c r="A34" i="8"/>
  <c r="B34" i="8"/>
  <c r="D34" i="8" s="1"/>
  <c r="A35" i="8"/>
  <c r="B35" i="8"/>
  <c r="D35" i="8" s="1"/>
  <c r="A36" i="8"/>
  <c r="C36" i="8" s="1"/>
  <c r="B36" i="8"/>
  <c r="D36" i="8" s="1"/>
  <c r="A37" i="8"/>
  <c r="C37" i="8" s="1"/>
  <c r="B37" i="8"/>
  <c r="D37" i="8"/>
  <c r="A38" i="8"/>
  <c r="C38" i="8" s="1"/>
  <c r="B38" i="8"/>
  <c r="D38" i="8"/>
  <c r="A39" i="8"/>
  <c r="C39" i="8" s="1"/>
  <c r="B39" i="8"/>
  <c r="D39" i="8" s="1"/>
  <c r="A40" i="8"/>
  <c r="B40" i="8"/>
  <c r="D40" i="8" s="1"/>
  <c r="A41" i="8"/>
  <c r="C41" i="8" s="1"/>
  <c r="B41" i="8"/>
  <c r="D41" i="8" s="1"/>
  <c r="A42" i="8"/>
  <c r="B42" i="8"/>
  <c r="D42" i="8" s="1"/>
  <c r="A43" i="8"/>
  <c r="C43" i="8" s="1"/>
  <c r="B43" i="8"/>
  <c r="D43" i="8" s="1"/>
  <c r="A44" i="8"/>
  <c r="B44" i="8"/>
  <c r="D44" i="8" s="1"/>
  <c r="A45" i="8"/>
  <c r="C45" i="8" s="1"/>
  <c r="B45" i="8"/>
  <c r="D45" i="8" s="1"/>
  <c r="A46" i="8"/>
  <c r="B46" i="8"/>
  <c r="D46" i="8"/>
  <c r="A47" i="8"/>
  <c r="B47" i="8"/>
  <c r="D47" i="8" s="1"/>
  <c r="A48" i="8"/>
  <c r="C48" i="8" s="1"/>
  <c r="B48" i="8"/>
  <c r="D48" i="8" s="1"/>
  <c r="A49" i="8"/>
  <c r="C49" i="8" s="1"/>
  <c r="B49" i="8"/>
  <c r="D49" i="8" s="1"/>
  <c r="A50" i="8"/>
  <c r="C50" i="8" s="1"/>
  <c r="B50" i="8"/>
  <c r="D50" i="8"/>
  <c r="A51" i="8"/>
  <c r="C51" i="8" s="1"/>
  <c r="B51" i="8"/>
  <c r="D51" i="8" s="1"/>
  <c r="A52" i="8"/>
  <c r="C52" i="8" s="1"/>
  <c r="B52" i="8"/>
  <c r="D52" i="8" s="1"/>
  <c r="A53" i="8"/>
  <c r="B53" i="8"/>
  <c r="D53" i="8" s="1"/>
  <c r="C53" i="8"/>
  <c r="A54" i="8"/>
  <c r="C54" i="8" s="1"/>
  <c r="B54" i="8"/>
  <c r="D54" i="8" s="1"/>
  <c r="A55" i="8"/>
  <c r="B55" i="8"/>
  <c r="D55" i="8" s="1"/>
  <c r="A56" i="8"/>
  <c r="C56" i="8" s="1"/>
  <c r="B56" i="8"/>
  <c r="D56" i="8" s="1"/>
  <c r="A57" i="8"/>
  <c r="B57" i="8"/>
  <c r="C57" i="8"/>
  <c r="D57" i="8"/>
  <c r="A58" i="8"/>
  <c r="C58" i="8" s="1"/>
  <c r="B58" i="8"/>
  <c r="D58" i="8" s="1"/>
  <c r="A59" i="8"/>
  <c r="C59" i="8" s="1"/>
  <c r="B59" i="8"/>
  <c r="D59" i="8" s="1"/>
  <c r="A60" i="8"/>
  <c r="B60" i="8"/>
  <c r="D60" i="8" s="1"/>
  <c r="A61" i="8"/>
  <c r="B61" i="8"/>
  <c r="D61" i="8"/>
  <c r="A62" i="8"/>
  <c r="B62" i="8"/>
  <c r="D62" i="8" s="1"/>
  <c r="A63" i="8"/>
  <c r="B63" i="8"/>
  <c r="D63" i="8" s="1"/>
  <c r="A64" i="8"/>
  <c r="B64" i="8"/>
  <c r="D64" i="8" s="1"/>
  <c r="A65" i="8"/>
  <c r="C65" i="8" s="1"/>
  <c r="B65" i="8"/>
  <c r="D65" i="8" s="1"/>
  <c r="AJ14" i="4"/>
  <c r="AJ14" i="5" s="1"/>
  <c r="AI14" i="4"/>
  <c r="AI14" i="5" s="1"/>
  <c r="AJ13" i="4"/>
  <c r="AJ13" i="5" s="1"/>
  <c r="AI13" i="4"/>
  <c r="AI13" i="5" s="1"/>
  <c r="AJ12" i="4"/>
  <c r="AJ12" i="5" s="1"/>
  <c r="AI12" i="4"/>
  <c r="AI12" i="5" s="1"/>
  <c r="AJ11" i="4"/>
  <c r="AJ11" i="5" s="1"/>
  <c r="AI11" i="4"/>
  <c r="AI11" i="5" s="1"/>
  <c r="AJ10" i="4"/>
  <c r="AJ10" i="5" s="1"/>
  <c r="AI10" i="4"/>
  <c r="AI10" i="5" s="1"/>
  <c r="AJ9" i="4"/>
  <c r="AJ9" i="5" s="1"/>
  <c r="AI9" i="4"/>
  <c r="AI9" i="5" s="1"/>
  <c r="AJ8" i="4"/>
  <c r="AJ8" i="5" s="1"/>
  <c r="AI8" i="4"/>
  <c r="AI8" i="5" s="1"/>
  <c r="AJ7" i="4"/>
  <c r="AJ7" i="5" s="1"/>
  <c r="AI7" i="4"/>
  <c r="AI7" i="5" s="1"/>
  <c r="AJ6" i="4"/>
  <c r="AJ6" i="5" s="1"/>
  <c r="AI6" i="4"/>
  <c r="AI6" i="5" s="1"/>
  <c r="AJ5" i="4"/>
  <c r="AJ5" i="5" s="1"/>
  <c r="AI5" i="4"/>
  <c r="AI5" i="5" s="1"/>
  <c r="AC14" i="4"/>
  <c r="AC14" i="5" s="1"/>
  <c r="AB14" i="4"/>
  <c r="AB14" i="5" s="1"/>
  <c r="AC13" i="4"/>
  <c r="AC13" i="5" s="1"/>
  <c r="AB13" i="4"/>
  <c r="AB13" i="5" s="1"/>
  <c r="AC12" i="4"/>
  <c r="AC12" i="5" s="1"/>
  <c r="AB12" i="4"/>
  <c r="AB12" i="5" s="1"/>
  <c r="AC11" i="4"/>
  <c r="AC11" i="5" s="1"/>
  <c r="AB11" i="4"/>
  <c r="AB11" i="5" s="1"/>
  <c r="AC10" i="4"/>
  <c r="AC10" i="5" s="1"/>
  <c r="AB10" i="4"/>
  <c r="AB10" i="5" s="1"/>
  <c r="AC9" i="4"/>
  <c r="AC9" i="5" s="1"/>
  <c r="AB9" i="4"/>
  <c r="AB9" i="5" s="1"/>
  <c r="AC8" i="4"/>
  <c r="AC8" i="5" s="1"/>
  <c r="AB8" i="4"/>
  <c r="AB8" i="5" s="1"/>
  <c r="AC7" i="4"/>
  <c r="AC7" i="5" s="1"/>
  <c r="AB7" i="4"/>
  <c r="AB7" i="5" s="1"/>
  <c r="AC6" i="4"/>
  <c r="AC6" i="5" s="1"/>
  <c r="AB6" i="4"/>
  <c r="AB6" i="5" s="1"/>
  <c r="AC5" i="4"/>
  <c r="AC5" i="5" s="1"/>
  <c r="AB5" i="4"/>
  <c r="AB5" i="5" s="1"/>
  <c r="V14" i="4"/>
  <c r="V14" i="5" s="1"/>
  <c r="U14" i="4"/>
  <c r="U14" i="5" s="1"/>
  <c r="V13" i="4"/>
  <c r="V13" i="5" s="1"/>
  <c r="U13" i="4"/>
  <c r="U13" i="5" s="1"/>
  <c r="V12" i="4"/>
  <c r="V12" i="5" s="1"/>
  <c r="U12" i="4"/>
  <c r="U12" i="5" s="1"/>
  <c r="V11" i="4"/>
  <c r="V11" i="5" s="1"/>
  <c r="U11" i="4"/>
  <c r="U11" i="5" s="1"/>
  <c r="V10" i="4"/>
  <c r="V10" i="5" s="1"/>
  <c r="U10" i="4"/>
  <c r="U10" i="5" s="1"/>
  <c r="V9" i="4"/>
  <c r="V9" i="5" s="1"/>
  <c r="U9" i="4"/>
  <c r="U9" i="5" s="1"/>
  <c r="V8" i="4"/>
  <c r="V8" i="5" s="1"/>
  <c r="U8" i="4"/>
  <c r="U8" i="5" s="1"/>
  <c r="V7" i="4"/>
  <c r="V7" i="5" s="1"/>
  <c r="U7" i="4"/>
  <c r="U7" i="5" s="1"/>
  <c r="V6" i="4"/>
  <c r="V6" i="5" s="1"/>
  <c r="U6" i="4"/>
  <c r="U6" i="5" s="1"/>
  <c r="V5" i="4"/>
  <c r="V5" i="5" s="1"/>
  <c r="U5" i="4"/>
  <c r="U5" i="5" s="1"/>
  <c r="N12" i="4"/>
  <c r="N12" i="5" s="1"/>
  <c r="O12" i="4"/>
  <c r="O12" i="5" s="1"/>
  <c r="N13" i="4"/>
  <c r="N13" i="5" s="1"/>
  <c r="O13" i="4"/>
  <c r="O13" i="5" s="1"/>
  <c r="N14" i="4"/>
  <c r="N14" i="5" s="1"/>
  <c r="O14" i="4"/>
  <c r="O14" i="5" s="1"/>
  <c r="N6" i="4"/>
  <c r="N6" i="5" s="1"/>
  <c r="O6" i="4"/>
  <c r="O6" i="5" s="1"/>
  <c r="N7" i="4"/>
  <c r="N7" i="5" s="1"/>
  <c r="O7" i="4"/>
  <c r="O7" i="5" s="1"/>
  <c r="N8" i="4"/>
  <c r="N8" i="5" s="1"/>
  <c r="O8" i="4"/>
  <c r="O8" i="5" s="1"/>
  <c r="N9" i="4"/>
  <c r="N9" i="5" s="1"/>
  <c r="O9" i="4"/>
  <c r="O9" i="5" s="1"/>
  <c r="N10" i="4"/>
  <c r="N10" i="5" s="1"/>
  <c r="O10" i="4"/>
  <c r="O10" i="5" s="1"/>
  <c r="N11" i="4"/>
  <c r="N11" i="5" s="1"/>
  <c r="O11" i="4"/>
  <c r="O11" i="5" s="1"/>
  <c r="J6" i="5"/>
  <c r="K6" i="5"/>
  <c r="L6" i="5"/>
  <c r="M6" i="5"/>
  <c r="P6" i="5"/>
  <c r="Q6" i="5"/>
  <c r="R6" i="5"/>
  <c r="S6" i="5"/>
  <c r="T6" i="5"/>
  <c r="W6" i="5"/>
  <c r="X6" i="5"/>
  <c r="Y6" i="5"/>
  <c r="Z6" i="5"/>
  <c r="AA6" i="5"/>
  <c r="AD6" i="5"/>
  <c r="AE6" i="5"/>
  <c r="AF6" i="5"/>
  <c r="AG6" i="5"/>
  <c r="AH6" i="5"/>
  <c r="AK6" i="5"/>
  <c r="AL6" i="5"/>
  <c r="AM6" i="5"/>
  <c r="J7" i="5"/>
  <c r="K7" i="5"/>
  <c r="L7" i="5"/>
  <c r="M7" i="5"/>
  <c r="P7" i="5"/>
  <c r="Q7" i="5"/>
  <c r="R7" i="5"/>
  <c r="S7" i="5"/>
  <c r="T7" i="5"/>
  <c r="W7" i="5"/>
  <c r="X7" i="5"/>
  <c r="Y7" i="5"/>
  <c r="Z7" i="5"/>
  <c r="AA7" i="5"/>
  <c r="AD7" i="5"/>
  <c r="AE7" i="5"/>
  <c r="AF7" i="5"/>
  <c r="AG7" i="5"/>
  <c r="AH7" i="5"/>
  <c r="AK7" i="5"/>
  <c r="AL7" i="5"/>
  <c r="AM7" i="5"/>
  <c r="J8" i="5"/>
  <c r="K8" i="5"/>
  <c r="L8" i="5"/>
  <c r="M8" i="5"/>
  <c r="P8" i="5"/>
  <c r="Q8" i="5"/>
  <c r="R8" i="5"/>
  <c r="S8" i="5"/>
  <c r="T8" i="5"/>
  <c r="W8" i="5"/>
  <c r="X8" i="5"/>
  <c r="Y8" i="5"/>
  <c r="Z8" i="5"/>
  <c r="AA8" i="5"/>
  <c r="AD8" i="5"/>
  <c r="AE8" i="5"/>
  <c r="AF8" i="5"/>
  <c r="AG8" i="5"/>
  <c r="AH8" i="5"/>
  <c r="AK8" i="5"/>
  <c r="AL8" i="5"/>
  <c r="AM8" i="5"/>
  <c r="J9" i="5"/>
  <c r="K9" i="5"/>
  <c r="L9" i="5"/>
  <c r="M9" i="5"/>
  <c r="P9" i="5"/>
  <c r="Q9" i="5"/>
  <c r="R9" i="5"/>
  <c r="S9" i="5"/>
  <c r="T9" i="5"/>
  <c r="W9" i="5"/>
  <c r="X9" i="5"/>
  <c r="Y9" i="5"/>
  <c r="Z9" i="5"/>
  <c r="AA9" i="5"/>
  <c r="AD9" i="5"/>
  <c r="AE9" i="5"/>
  <c r="AF9" i="5"/>
  <c r="AG9" i="5"/>
  <c r="AH9" i="5"/>
  <c r="AK9" i="5"/>
  <c r="AL9" i="5"/>
  <c r="AM9" i="5"/>
  <c r="J10" i="5"/>
  <c r="K10" i="5"/>
  <c r="L10" i="5"/>
  <c r="M10" i="5"/>
  <c r="P10" i="5"/>
  <c r="Q10" i="5"/>
  <c r="R10" i="5"/>
  <c r="S10" i="5"/>
  <c r="T10" i="5"/>
  <c r="W10" i="5"/>
  <c r="X10" i="5"/>
  <c r="Y10" i="5"/>
  <c r="Z10" i="5"/>
  <c r="AA10" i="5"/>
  <c r="AD10" i="5"/>
  <c r="AE10" i="5"/>
  <c r="AF10" i="5"/>
  <c r="AG10" i="5"/>
  <c r="AH10" i="5"/>
  <c r="AK10" i="5"/>
  <c r="AL10" i="5"/>
  <c r="AM10" i="5"/>
  <c r="J11" i="5"/>
  <c r="K11" i="5"/>
  <c r="L11" i="5"/>
  <c r="M11" i="5"/>
  <c r="P11" i="5"/>
  <c r="Q11" i="5"/>
  <c r="R11" i="5"/>
  <c r="S11" i="5"/>
  <c r="T11" i="5"/>
  <c r="W11" i="5"/>
  <c r="X11" i="5"/>
  <c r="Y11" i="5"/>
  <c r="Z11" i="5"/>
  <c r="AA11" i="5"/>
  <c r="AD11" i="5"/>
  <c r="AE11" i="5"/>
  <c r="AF11" i="5"/>
  <c r="AG11" i="5"/>
  <c r="AH11" i="5"/>
  <c r="AK11" i="5"/>
  <c r="AL11" i="5"/>
  <c r="AM11" i="5"/>
  <c r="J12" i="5"/>
  <c r="K12" i="5"/>
  <c r="L12" i="5"/>
  <c r="M12" i="5"/>
  <c r="P12" i="5"/>
  <c r="Q12" i="5"/>
  <c r="R12" i="5"/>
  <c r="S12" i="5"/>
  <c r="T12" i="5"/>
  <c r="W12" i="5"/>
  <c r="X12" i="5"/>
  <c r="Y12" i="5"/>
  <c r="Z12" i="5"/>
  <c r="AA12" i="5"/>
  <c r="AD12" i="5"/>
  <c r="AE12" i="5"/>
  <c r="AF12" i="5"/>
  <c r="AG12" i="5"/>
  <c r="AH12" i="5"/>
  <c r="AK12" i="5"/>
  <c r="AL12" i="5"/>
  <c r="AM12" i="5"/>
  <c r="J13" i="5"/>
  <c r="K13" i="5"/>
  <c r="L13" i="5"/>
  <c r="M13" i="5"/>
  <c r="P13" i="5"/>
  <c r="Q13" i="5"/>
  <c r="R13" i="5"/>
  <c r="S13" i="5"/>
  <c r="T13" i="5"/>
  <c r="W13" i="5"/>
  <c r="X13" i="5"/>
  <c r="Y13" i="5"/>
  <c r="Z13" i="5"/>
  <c r="AA13" i="5"/>
  <c r="AD13" i="5"/>
  <c r="AE13" i="5"/>
  <c r="AF13" i="5"/>
  <c r="AG13" i="5"/>
  <c r="AH13" i="5"/>
  <c r="AK13" i="5"/>
  <c r="AL13" i="5"/>
  <c r="AM13" i="5"/>
  <c r="J14" i="5"/>
  <c r="K14" i="5"/>
  <c r="L14" i="5"/>
  <c r="M14" i="5"/>
  <c r="P14" i="5"/>
  <c r="Q14" i="5"/>
  <c r="R14" i="5"/>
  <c r="S14" i="5"/>
  <c r="T14" i="5"/>
  <c r="W14" i="5"/>
  <c r="X14" i="5"/>
  <c r="Y14" i="5"/>
  <c r="Z14" i="5"/>
  <c r="AA14" i="5"/>
  <c r="AD14" i="5"/>
  <c r="AE14" i="5"/>
  <c r="AF14" i="5"/>
  <c r="AG14" i="5"/>
  <c r="AH14" i="5"/>
  <c r="AK14" i="5"/>
  <c r="AL14" i="5"/>
  <c r="AM1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O5" i="4"/>
  <c r="O5" i="5" s="1"/>
  <c r="N5" i="4"/>
  <c r="N5" i="5" s="1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J4" i="4"/>
  <c r="B2" i="8"/>
  <c r="D2" i="8" s="1"/>
  <c r="A2" i="8"/>
  <c r="C2" i="8" s="1"/>
  <c r="AL5" i="3"/>
  <c r="AM5" i="3"/>
  <c r="AD5" i="3"/>
  <c r="AE5" i="3"/>
  <c r="AF5" i="3"/>
  <c r="AG5" i="3"/>
  <c r="AH5" i="3"/>
  <c r="AK5" i="3"/>
  <c r="K5" i="3"/>
  <c r="L5" i="3"/>
  <c r="M5" i="3"/>
  <c r="P5" i="3"/>
  <c r="Q5" i="3"/>
  <c r="R5" i="3"/>
  <c r="S5" i="3"/>
  <c r="T5" i="3"/>
  <c r="U5" i="3"/>
  <c r="V5" i="3"/>
  <c r="W5" i="3"/>
  <c r="X5" i="3"/>
  <c r="Y5" i="3"/>
  <c r="Z5" i="3"/>
  <c r="AA5" i="3"/>
  <c r="J5" i="3"/>
  <c r="K5" i="5"/>
  <c r="L5" i="5"/>
  <c r="M5" i="5"/>
  <c r="P5" i="5"/>
  <c r="Q5" i="5"/>
  <c r="R5" i="5"/>
  <c r="S5" i="5"/>
  <c r="T5" i="5"/>
  <c r="W5" i="5"/>
  <c r="X5" i="5"/>
  <c r="Y5" i="5"/>
  <c r="Z5" i="5"/>
  <c r="AA5" i="5"/>
  <c r="AD5" i="5"/>
  <c r="AE5" i="5"/>
  <c r="AF5" i="5"/>
  <c r="AG5" i="5"/>
  <c r="AH5" i="5"/>
  <c r="AK5" i="5"/>
  <c r="AL5" i="5"/>
  <c r="AM5" i="5"/>
  <c r="J5" i="5"/>
  <c r="C63" i="8" l="1"/>
  <c r="C42" i="8"/>
  <c r="C31" i="8"/>
  <c r="C3" i="8"/>
  <c r="C61" i="8"/>
  <c r="C46" i="8"/>
  <c r="C44" i="8"/>
  <c r="C35" i="8"/>
  <c r="D33" i="8"/>
  <c r="C29" i="8"/>
  <c r="C14" i="8"/>
  <c r="C12" i="8"/>
  <c r="C10" i="8"/>
  <c r="C16" i="8"/>
  <c r="C5" i="8"/>
  <c r="C40" i="8"/>
  <c r="C47" i="8"/>
  <c r="C26" i="8"/>
  <c r="C24" i="8"/>
  <c r="C15" i="8"/>
  <c r="C60" i="8"/>
  <c r="C4" i="8"/>
  <c r="C62" i="8"/>
  <c r="C64" i="8"/>
  <c r="C55" i="8"/>
  <c r="C34" i="8"/>
  <c r="C32" i="8"/>
  <c r="C23" i="8"/>
  <c r="D8" i="8"/>
  <c r="D4" i="8"/>
</calcChain>
</file>

<file path=xl/sharedStrings.xml><?xml version="1.0" encoding="utf-8"?>
<sst xmlns="http://schemas.openxmlformats.org/spreadsheetml/2006/main" count="146" uniqueCount="29">
  <si>
    <t>Production_Line</t>
  </si>
  <si>
    <t>Pri1</t>
  </si>
  <si>
    <t>Pri2</t>
  </si>
  <si>
    <t>Cut1</t>
  </si>
  <si>
    <t>Cut2</t>
  </si>
  <si>
    <t>Cut3</t>
  </si>
  <si>
    <t>Man1</t>
  </si>
  <si>
    <t>Man2</t>
  </si>
  <si>
    <t>Man3</t>
  </si>
  <si>
    <t>Sew1</t>
  </si>
  <si>
    <t>Sew2</t>
  </si>
  <si>
    <t>Sew3</t>
  </si>
  <si>
    <t>Sew4</t>
  </si>
  <si>
    <t>QaC1</t>
  </si>
  <si>
    <t>QaC2</t>
  </si>
  <si>
    <t>QaC3</t>
  </si>
  <si>
    <t>Pac1</t>
  </si>
  <si>
    <t>Day</t>
  </si>
  <si>
    <t>Sday_1</t>
  </si>
  <si>
    <t>Sday_2</t>
  </si>
  <si>
    <t>Night</t>
  </si>
  <si>
    <t>Workers</t>
  </si>
  <si>
    <t>Start Date:</t>
  </si>
  <si>
    <t>Shift</t>
  </si>
  <si>
    <t>Grand Total</t>
  </si>
  <si>
    <t>Max_Hr</t>
  </si>
  <si>
    <t>Line_Fam</t>
  </si>
  <si>
    <t>Shift_Count</t>
  </si>
  <si>
    <t>Hrly_Sal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</si>
</sst>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1"/>
      <color theme="1"/>
      <name val="Calibri"/>
      <family val="2"/>
      <charset val="163"/>
      <scheme val="minor"/>
    </font>
    <font>
      <b/>
      <sz val="11"/>
      <color rgb="FFFFFFFF"/>
      <name val="Calibri"/>
      <family val="2"/>
    </font>
    <font>
      <b/>
      <sz val="11"/>
      <name val="Calibri"/>
    </font>
    <font>
      <b/>
      <sz val="11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/>
    <xf numFmtId="164" fontId="0" fillId="0" borderId="0" xfId="0" applyNumberFormat="1"/>
    <xf numFmtId="14" fontId="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0" fontId="0" fillId="0" borderId="0" xfId="0" applyNumberFormat="1"/>
    <xf numFmtId="0" fontId="1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68.982379513887" createdVersion="8" refreshedVersion="8" minRefreshableVersion="3" recordCount="65" xr:uid="{5DBE484B-06A6-482F-B551-507A3AE1DA96}">
  <cacheSource type="worksheet">
    <worksheetSource ref="A1:C1048576" sheet="Expanded_Details"/>
  </cacheSource>
  <cacheFields count="3">
    <cacheField name="Production_Line" numFmtId="0">
      <sharedItems containsBlank="1" containsMixedTypes="1" containsNumber="1" containsInteger="1" minValue="0" maxValue="0" count="18">
        <s v="Pri1"/>
        <s v="Pri2"/>
        <s v="Cut1"/>
        <s v="Cut2"/>
        <s v="Cut3"/>
        <s v="Man1"/>
        <s v="Man2"/>
        <s v="Man3"/>
        <s v="Sew1"/>
        <s v="Sew2"/>
        <s v="Sew3"/>
        <s v="Sew4"/>
        <s v="QaC1"/>
        <s v="QaC2"/>
        <s v="QaC3"/>
        <s v="Pac1"/>
        <m/>
        <n v="0" u="1"/>
      </sharedItems>
    </cacheField>
    <cacheField name="Shift" numFmtId="0">
      <sharedItems containsBlank="1" count="5">
        <s v="Day"/>
        <s v="Sday_1"/>
        <s v="Sday_2"/>
        <s v="Night"/>
        <m/>
      </sharedItems>
    </cacheField>
    <cacheField name="Workers" numFmtId="0">
      <sharedItems containsString="0" containsBlank="1" containsNumber="1" containsInteger="1" minValue="0" maxValue="30" count="12">
        <n v="5"/>
        <n v="0"/>
        <n v="30"/>
        <n v="20"/>
        <n v="8"/>
        <n v="4"/>
        <m/>
        <n v="15" u="1"/>
        <n v="12" u="1"/>
        <n v="11" u="1"/>
        <n v="10" u="1"/>
        <n v="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x v="0"/>
    <x v="0"/>
  </r>
  <r>
    <x v="0"/>
    <x v="1"/>
    <x v="1"/>
  </r>
  <r>
    <x v="0"/>
    <x v="2"/>
    <x v="1"/>
  </r>
  <r>
    <x v="0"/>
    <x v="3"/>
    <x v="1"/>
  </r>
  <r>
    <x v="1"/>
    <x v="0"/>
    <x v="0"/>
  </r>
  <r>
    <x v="1"/>
    <x v="1"/>
    <x v="1"/>
  </r>
  <r>
    <x v="1"/>
    <x v="2"/>
    <x v="1"/>
  </r>
  <r>
    <x v="1"/>
    <x v="3"/>
    <x v="1"/>
  </r>
  <r>
    <x v="2"/>
    <x v="0"/>
    <x v="0"/>
  </r>
  <r>
    <x v="2"/>
    <x v="1"/>
    <x v="1"/>
  </r>
  <r>
    <x v="2"/>
    <x v="2"/>
    <x v="1"/>
  </r>
  <r>
    <x v="2"/>
    <x v="3"/>
    <x v="1"/>
  </r>
  <r>
    <x v="3"/>
    <x v="0"/>
    <x v="0"/>
  </r>
  <r>
    <x v="3"/>
    <x v="1"/>
    <x v="1"/>
  </r>
  <r>
    <x v="3"/>
    <x v="2"/>
    <x v="1"/>
  </r>
  <r>
    <x v="3"/>
    <x v="3"/>
    <x v="1"/>
  </r>
  <r>
    <x v="4"/>
    <x v="0"/>
    <x v="1"/>
  </r>
  <r>
    <x v="4"/>
    <x v="1"/>
    <x v="1"/>
  </r>
  <r>
    <x v="4"/>
    <x v="2"/>
    <x v="1"/>
  </r>
  <r>
    <x v="4"/>
    <x v="3"/>
    <x v="1"/>
  </r>
  <r>
    <x v="5"/>
    <x v="0"/>
    <x v="2"/>
  </r>
  <r>
    <x v="5"/>
    <x v="1"/>
    <x v="1"/>
  </r>
  <r>
    <x v="5"/>
    <x v="2"/>
    <x v="1"/>
  </r>
  <r>
    <x v="5"/>
    <x v="3"/>
    <x v="1"/>
  </r>
  <r>
    <x v="6"/>
    <x v="0"/>
    <x v="1"/>
  </r>
  <r>
    <x v="6"/>
    <x v="1"/>
    <x v="3"/>
  </r>
  <r>
    <x v="6"/>
    <x v="2"/>
    <x v="3"/>
  </r>
  <r>
    <x v="6"/>
    <x v="3"/>
    <x v="1"/>
  </r>
  <r>
    <x v="7"/>
    <x v="0"/>
    <x v="1"/>
  </r>
  <r>
    <x v="7"/>
    <x v="1"/>
    <x v="3"/>
  </r>
  <r>
    <x v="7"/>
    <x v="2"/>
    <x v="3"/>
  </r>
  <r>
    <x v="7"/>
    <x v="3"/>
    <x v="1"/>
  </r>
  <r>
    <x v="8"/>
    <x v="0"/>
    <x v="4"/>
  </r>
  <r>
    <x v="8"/>
    <x v="1"/>
    <x v="1"/>
  </r>
  <r>
    <x v="8"/>
    <x v="2"/>
    <x v="1"/>
  </r>
  <r>
    <x v="8"/>
    <x v="3"/>
    <x v="1"/>
  </r>
  <r>
    <x v="9"/>
    <x v="0"/>
    <x v="4"/>
  </r>
  <r>
    <x v="9"/>
    <x v="1"/>
    <x v="1"/>
  </r>
  <r>
    <x v="9"/>
    <x v="2"/>
    <x v="1"/>
  </r>
  <r>
    <x v="9"/>
    <x v="3"/>
    <x v="1"/>
  </r>
  <r>
    <x v="10"/>
    <x v="0"/>
    <x v="4"/>
  </r>
  <r>
    <x v="10"/>
    <x v="1"/>
    <x v="1"/>
  </r>
  <r>
    <x v="10"/>
    <x v="2"/>
    <x v="1"/>
  </r>
  <r>
    <x v="10"/>
    <x v="3"/>
    <x v="1"/>
  </r>
  <r>
    <x v="11"/>
    <x v="0"/>
    <x v="1"/>
  </r>
  <r>
    <x v="11"/>
    <x v="1"/>
    <x v="5"/>
  </r>
  <r>
    <x v="11"/>
    <x v="2"/>
    <x v="5"/>
  </r>
  <r>
    <x v="11"/>
    <x v="3"/>
    <x v="1"/>
  </r>
  <r>
    <x v="12"/>
    <x v="0"/>
    <x v="3"/>
  </r>
  <r>
    <x v="12"/>
    <x v="1"/>
    <x v="1"/>
  </r>
  <r>
    <x v="12"/>
    <x v="2"/>
    <x v="1"/>
  </r>
  <r>
    <x v="12"/>
    <x v="3"/>
    <x v="1"/>
  </r>
  <r>
    <x v="13"/>
    <x v="0"/>
    <x v="1"/>
  </r>
  <r>
    <x v="13"/>
    <x v="1"/>
    <x v="3"/>
  </r>
  <r>
    <x v="13"/>
    <x v="2"/>
    <x v="3"/>
  </r>
  <r>
    <x v="13"/>
    <x v="3"/>
    <x v="1"/>
  </r>
  <r>
    <x v="14"/>
    <x v="0"/>
    <x v="1"/>
  </r>
  <r>
    <x v="14"/>
    <x v="1"/>
    <x v="3"/>
  </r>
  <r>
    <x v="14"/>
    <x v="2"/>
    <x v="3"/>
  </r>
  <r>
    <x v="14"/>
    <x v="3"/>
    <x v="1"/>
  </r>
  <r>
    <x v="15"/>
    <x v="0"/>
    <x v="5"/>
  </r>
  <r>
    <x v="15"/>
    <x v="1"/>
    <x v="1"/>
  </r>
  <r>
    <x v="15"/>
    <x v="2"/>
    <x v="1"/>
  </r>
  <r>
    <x v="15"/>
    <x v="3"/>
    <x v="1"/>
  </r>
  <r>
    <x v="16"/>
    <x v="4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6E8407-A68A-4EF6-B1B6-1DC20F4F1F21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 gridDropZones="1" multipleFieldFilters="0">
  <location ref="A3:I25" firstHeaderRow="2" firstDataRow="2" firstDataCol="3"/>
  <pivotFields count="3">
    <pivotField axis="axisRow" compact="0" outline="0" showAll="0" nonAutoSortDefault="1" defaultSubtotal="0">
      <items count="18">
        <item x="2"/>
        <item x="3"/>
        <item x="4"/>
        <item x="5"/>
        <item x="6"/>
        <item x="7"/>
        <item x="15"/>
        <item x="0"/>
        <item x="1"/>
        <item x="12"/>
        <item x="13"/>
        <item x="14"/>
        <item x="8"/>
        <item x="9"/>
        <item x="10"/>
        <item x="11"/>
        <item x="16"/>
        <item m="1" x="17"/>
      </items>
    </pivotField>
    <pivotField axis="axisRow" compact="0" outline="0" showAll="0" defaultSubtotal="0">
      <items count="5">
        <item x="0"/>
        <item x="3"/>
        <item x="1"/>
        <item x="2"/>
        <item x="4"/>
      </items>
    </pivotField>
    <pivotField axis="axisRow" compact="0" outline="0" showAll="0">
      <items count="13">
        <item x="1"/>
        <item m="1" x="11"/>
        <item x="5"/>
        <item x="0"/>
        <item x="4"/>
        <item m="1" x="10"/>
        <item m="1" x="9"/>
        <item m="1" x="8"/>
        <item m="1" x="7"/>
        <item x="6"/>
        <item x="2"/>
        <item x="3"/>
        <item t="default"/>
      </items>
    </pivotField>
  </pivotFields>
  <rowFields count="3">
    <field x="0"/>
    <field x="1"/>
    <field x="2"/>
  </rowFields>
  <rowItems count="21">
    <i>
      <x/>
      <x/>
      <x v="3"/>
    </i>
    <i>
      <x v="1"/>
      <x/>
      <x v="3"/>
    </i>
    <i>
      <x v="3"/>
      <x/>
      <x v="10"/>
    </i>
    <i>
      <x v="4"/>
      <x v="2"/>
      <x v="11"/>
    </i>
    <i r="1">
      <x v="3"/>
      <x v="11"/>
    </i>
    <i>
      <x v="5"/>
      <x v="2"/>
      <x v="11"/>
    </i>
    <i r="1">
      <x v="3"/>
      <x v="11"/>
    </i>
    <i>
      <x v="6"/>
      <x/>
      <x v="2"/>
    </i>
    <i>
      <x v="7"/>
      <x/>
      <x v="3"/>
    </i>
    <i>
      <x v="8"/>
      <x/>
      <x v="3"/>
    </i>
    <i>
      <x v="9"/>
      <x/>
      <x v="11"/>
    </i>
    <i>
      <x v="10"/>
      <x v="2"/>
      <x v="11"/>
    </i>
    <i r="1">
      <x v="3"/>
      <x v="11"/>
    </i>
    <i>
      <x v="11"/>
      <x v="2"/>
      <x v="11"/>
    </i>
    <i r="1">
      <x v="3"/>
      <x v="11"/>
    </i>
    <i>
      <x v="12"/>
      <x/>
      <x v="4"/>
    </i>
    <i>
      <x v="13"/>
      <x/>
      <x v="4"/>
    </i>
    <i>
      <x v="14"/>
      <x/>
      <x v="4"/>
    </i>
    <i>
      <x v="15"/>
      <x v="2"/>
      <x v="2"/>
    </i>
    <i r="1">
      <x v="3"/>
      <x v="2"/>
    </i>
    <i t="grand">
      <x/>
    </i>
  </rowItems>
  <colItems count="1">
    <i/>
  </colItems>
  <pivotTableStyleInfo name="PivotStyleLight16" showRowHeaders="1" showColHeaders="1" showRowStripes="0" showColStripes="0" showLastColumn="1"/>
  <filters count="1">
    <filter fld="2" type="captionGreaterThan" evalOrder="-1" id="2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9B5743-2199-426C-9304-ECF4741CF1F9}" name="PivotTable4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 gridDropZones="1" multipleFieldFilters="0">
  <location ref="A3:I15" firstHeaderRow="2" firstDataRow="2" firstDataCol="3"/>
  <pivotFields count="3">
    <pivotField axis="axisRow" compact="0" outline="0" showAll="0" nonAutoSortDefault="1" defaultSubtotal="0">
      <items count="18">
        <item x="2"/>
        <item x="3"/>
        <item x="4"/>
        <item x="5"/>
        <item x="6"/>
        <item x="7"/>
        <item x="15"/>
        <item x="0"/>
        <item x="1"/>
        <item x="12"/>
        <item x="13"/>
        <item x="14"/>
        <item x="8"/>
        <item x="9"/>
        <item x="10"/>
        <item x="11"/>
        <item x="16"/>
        <item m="1" x="17"/>
      </items>
    </pivotField>
    <pivotField axis="axisRow" compact="0" outline="0" showAll="0" defaultSubtotal="0">
      <items count="5">
        <item x="0"/>
        <item x="3"/>
        <item x="1"/>
        <item x="2"/>
        <item x="4"/>
      </items>
    </pivotField>
    <pivotField axis="axisRow" compact="0" outline="0" showAll="0">
      <items count="13">
        <item x="1"/>
        <item m="1" x="11"/>
        <item x="5"/>
        <item x="0"/>
        <item x="4"/>
        <item m="1" x="10"/>
        <item m="1" x="9"/>
        <item m="1" x="8"/>
        <item m="1" x="7"/>
        <item x="6"/>
        <item x="2"/>
        <item x="3"/>
        <item t="default"/>
      </items>
    </pivotField>
  </pivotFields>
  <rowFields count="3">
    <field x="0"/>
    <field x="1"/>
    <field x="2"/>
  </rowFields>
  <rowItems count="11">
    <i>
      <x/>
      <x/>
      <x v="3"/>
    </i>
    <i>
      <x v="1"/>
      <x/>
      <x v="3"/>
    </i>
    <i>
      <x v="3"/>
      <x/>
      <x v="10"/>
    </i>
    <i>
      <x v="6"/>
      <x/>
      <x v="2"/>
    </i>
    <i>
      <x v="7"/>
      <x/>
      <x v="3"/>
    </i>
    <i>
      <x v="8"/>
      <x/>
      <x v="3"/>
    </i>
    <i>
      <x v="9"/>
      <x/>
      <x v="11"/>
    </i>
    <i>
      <x v="12"/>
      <x/>
      <x v="4"/>
    </i>
    <i>
      <x v="13"/>
      <x/>
      <x v="4"/>
    </i>
    <i>
      <x v="14"/>
      <x/>
      <x v="4"/>
    </i>
    <i t="grand">
      <x/>
    </i>
  </rowItems>
  <colItems count="1">
    <i/>
  </colItems>
  <pivotTableStyleInfo name="PivotStyleLight16" showRowHeaders="1" showColHeaders="1" showRowStripes="0" showColStripes="0" showLastColumn="1"/>
  <filters count="2">
    <filter fld="1" type="captionEqual" evalOrder="-1" id="4" stringValue1="Day">
      <autoFilter ref="A1">
        <filterColumn colId="0">
          <filters>
            <filter val="Day"/>
          </filters>
        </filterColumn>
      </autoFilter>
    </filter>
    <filter fld="2" type="captionGreaterThan" evalOrder="-1" id="3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389398-B307-44A6-819A-5620FD3877CF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 gridDropZones="1" multipleFieldFilters="0">
  <location ref="A3:I25" firstHeaderRow="2" firstDataRow="2" firstDataCol="3"/>
  <pivotFields count="3">
    <pivotField axis="axisRow" compact="0" outline="0" showAll="0" nonAutoSortDefault="1" defaultSubtotal="0">
      <items count="18">
        <item x="2"/>
        <item x="3"/>
        <item x="4"/>
        <item x="5"/>
        <item x="6"/>
        <item x="7"/>
        <item x="15"/>
        <item x="0"/>
        <item x="1"/>
        <item x="12"/>
        <item x="13"/>
        <item x="14"/>
        <item x="8"/>
        <item x="9"/>
        <item x="10"/>
        <item x="11"/>
        <item x="16"/>
        <item m="1" x="17"/>
      </items>
    </pivotField>
    <pivotField axis="axisRow" compact="0" outline="0" showAll="0" defaultSubtotal="0">
      <items count="5">
        <item x="0"/>
        <item x="3"/>
        <item x="1"/>
        <item x="2"/>
        <item x="4"/>
      </items>
    </pivotField>
    <pivotField axis="axisRow" compact="0" outline="0" showAll="0">
      <items count="13">
        <item x="1"/>
        <item m="1" x="11"/>
        <item x="5"/>
        <item x="0"/>
        <item x="4"/>
        <item m="1" x="10"/>
        <item m="1" x="9"/>
        <item m="1" x="8"/>
        <item m="1" x="7"/>
        <item x="6"/>
        <item x="2"/>
        <item x="3"/>
        <item t="default"/>
      </items>
    </pivotField>
  </pivotFields>
  <rowFields count="3">
    <field x="0"/>
    <field x="1"/>
    <field x="2"/>
  </rowFields>
  <rowItems count="21">
    <i>
      <x/>
      <x/>
      <x v="3"/>
    </i>
    <i>
      <x v="1"/>
      <x/>
      <x v="3"/>
    </i>
    <i>
      <x v="3"/>
      <x/>
      <x v="10"/>
    </i>
    <i>
      <x v="4"/>
      <x v="2"/>
      <x v="11"/>
    </i>
    <i r="1">
      <x v="3"/>
      <x v="11"/>
    </i>
    <i>
      <x v="5"/>
      <x v="2"/>
      <x v="11"/>
    </i>
    <i r="1">
      <x v="3"/>
      <x v="11"/>
    </i>
    <i>
      <x v="6"/>
      <x/>
      <x v="2"/>
    </i>
    <i>
      <x v="7"/>
      <x/>
      <x v="3"/>
    </i>
    <i>
      <x v="8"/>
      <x/>
      <x v="3"/>
    </i>
    <i>
      <x v="9"/>
      <x/>
      <x v="11"/>
    </i>
    <i>
      <x v="10"/>
      <x v="2"/>
      <x v="11"/>
    </i>
    <i r="1">
      <x v="3"/>
      <x v="11"/>
    </i>
    <i>
      <x v="11"/>
      <x v="2"/>
      <x v="11"/>
    </i>
    <i r="1">
      <x v="3"/>
      <x v="11"/>
    </i>
    <i>
      <x v="12"/>
      <x/>
      <x v="4"/>
    </i>
    <i>
      <x v="13"/>
      <x/>
      <x v="4"/>
    </i>
    <i>
      <x v="14"/>
      <x/>
      <x v="4"/>
    </i>
    <i>
      <x v="15"/>
      <x v="2"/>
      <x v="2"/>
    </i>
    <i r="1">
      <x v="3"/>
      <x v="2"/>
    </i>
    <i t="grand">
      <x/>
    </i>
  </rowItems>
  <colItems count="1">
    <i/>
  </colItems>
  <pivotTableStyleInfo name="PivotStyleLight16" showRowHeaders="1" showColHeaders="1" showRowStripes="0" showColStripes="0" showLastColumn="1"/>
  <filters count="1">
    <filter fld="2" type="captionGreaterThan" evalOrder="-1" id="2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E46C1-4242-4B47-B9AE-82233D40F50D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 gridDropZones="1" multipleFieldFilters="0">
  <location ref="A3:I15" firstHeaderRow="2" firstDataRow="2" firstDataCol="3"/>
  <pivotFields count="3">
    <pivotField axis="axisRow" compact="0" outline="0" showAll="0" nonAutoSortDefault="1" defaultSubtotal="0">
      <items count="18">
        <item x="2"/>
        <item x="3"/>
        <item x="4"/>
        <item x="5"/>
        <item x="6"/>
        <item x="7"/>
        <item x="15"/>
        <item x="0"/>
        <item x="1"/>
        <item x="12"/>
        <item x="13"/>
        <item x="14"/>
        <item x="8"/>
        <item x="9"/>
        <item x="10"/>
        <item x="11"/>
        <item x="16"/>
        <item m="1" x="17"/>
      </items>
    </pivotField>
    <pivotField axis="axisRow" compact="0" outline="0" showAll="0" defaultSubtotal="0">
      <items count="5">
        <item x="0"/>
        <item x="3"/>
        <item x="1"/>
        <item x="2"/>
        <item x="4"/>
      </items>
    </pivotField>
    <pivotField axis="axisRow" compact="0" outline="0" showAll="0">
      <items count="13">
        <item x="1"/>
        <item m="1" x="11"/>
        <item x="5"/>
        <item x="0"/>
        <item x="4"/>
        <item m="1" x="10"/>
        <item m="1" x="9"/>
        <item m="1" x="8"/>
        <item m="1" x="7"/>
        <item x="6"/>
        <item x="2"/>
        <item x="3"/>
        <item t="default"/>
      </items>
    </pivotField>
  </pivotFields>
  <rowFields count="3">
    <field x="0"/>
    <field x="1"/>
    <field x="2"/>
  </rowFields>
  <rowItems count="11">
    <i>
      <x/>
      <x/>
      <x v="3"/>
    </i>
    <i>
      <x v="1"/>
      <x/>
      <x v="3"/>
    </i>
    <i>
      <x v="3"/>
      <x/>
      <x v="10"/>
    </i>
    <i>
      <x v="6"/>
      <x/>
      <x v="2"/>
    </i>
    <i>
      <x v="7"/>
      <x/>
      <x v="3"/>
    </i>
    <i>
      <x v="8"/>
      <x/>
      <x v="3"/>
    </i>
    <i>
      <x v="9"/>
      <x/>
      <x v="11"/>
    </i>
    <i>
      <x v="12"/>
      <x/>
      <x v="4"/>
    </i>
    <i>
      <x v="13"/>
      <x/>
      <x v="4"/>
    </i>
    <i>
      <x v="14"/>
      <x/>
      <x v="4"/>
    </i>
    <i t="grand">
      <x/>
    </i>
  </rowItems>
  <colItems count="1">
    <i/>
  </colItems>
  <pivotTableStyleInfo name="PivotStyleLight16" showRowHeaders="1" showColHeaders="1" showRowStripes="0" showColStripes="0" showLastColumn="1"/>
  <filters count="2">
    <filter fld="1" type="captionEqual" evalOrder="-1" id="4" stringValue1="Day">
      <autoFilter ref="A1">
        <filterColumn colId="0">
          <filters>
            <filter val="Day"/>
          </filters>
        </filterColumn>
      </autoFilter>
    </filter>
    <filter fld="2" type="captionGreaterThan" evalOrder="-1" id="3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B4C0E-183D-47C1-8E17-97662E40AE17}">
  <sheetPr codeName="Sheet1"/>
  <dimension ref="A1:F17"/>
  <sheetViews>
    <sheetView tabSelected="1" workbookViewId="0">
      <selection activeCell="D14" sqref="D14"/>
    </sheetView>
  </sheetViews>
  <sheetFormatPr defaultRowHeight="15" x14ac:dyDescent="0.25"/>
  <cols>
    <col min="1" max="1" width="15.5703125" bestFit="1" customWidth="1"/>
    <col min="7" max="7" width="15.5703125" bestFit="1" customWidth="1"/>
    <col min="8" max="8" width="15.5703125" customWidth="1"/>
    <col min="9" max="10" width="13.85546875" bestFit="1" customWidth="1"/>
    <col min="11" max="11" width="12.42578125" bestFit="1" customWidth="1"/>
    <col min="15" max="15" width="13.140625" bestFit="1" customWidth="1"/>
    <col min="16" max="16" width="15.28515625" bestFit="1" customWidth="1"/>
    <col min="17" max="17" width="11.28515625" bestFit="1" customWidth="1"/>
  </cols>
  <sheetData>
    <row r="1" spans="1:6" x14ac:dyDescent="0.25">
      <c r="A1" s="1" t="s">
        <v>0</v>
      </c>
      <c r="B1" s="1" t="s">
        <v>17</v>
      </c>
      <c r="C1" s="1" t="s">
        <v>18</v>
      </c>
      <c r="D1" s="1" t="s">
        <v>19</v>
      </c>
      <c r="E1" s="1" t="s">
        <v>20</v>
      </c>
      <c r="F1" s="7" t="s">
        <v>27</v>
      </c>
    </row>
    <row r="2" spans="1:6" x14ac:dyDescent="0.25">
      <c r="A2" t="s">
        <v>1</v>
      </c>
      <c r="B2">
        <v>6</v>
      </c>
      <c r="C2">
        <v>0</v>
      </c>
      <c r="D2">
        <v>0</v>
      </c>
      <c r="E2">
        <v>0</v>
      </c>
      <c r="F2">
        <f t="shared" ref="F2:F17" si="0">IF(COUNTIF(C2:E2,"&lt;&gt;0")-4*COUNTIF(B2,"&lt;&gt;0")&lt;0,0,COUNTIF(C2:E2,"&lt;&gt;0")-4*COUNTIF(B2,"&lt;&gt;0"))</f>
        <v>0</v>
      </c>
    </row>
    <row r="3" spans="1:6" x14ac:dyDescent="0.25">
      <c r="A3" t="s">
        <v>2</v>
      </c>
      <c r="B3">
        <v>6</v>
      </c>
      <c r="C3">
        <v>0</v>
      </c>
      <c r="D3">
        <v>0</v>
      </c>
      <c r="E3">
        <v>0</v>
      </c>
      <c r="F3">
        <f t="shared" si="0"/>
        <v>0</v>
      </c>
    </row>
    <row r="4" spans="1:6" x14ac:dyDescent="0.25">
      <c r="A4" t="s">
        <v>3</v>
      </c>
      <c r="B4">
        <v>10</v>
      </c>
      <c r="C4">
        <v>0</v>
      </c>
      <c r="D4">
        <v>0</v>
      </c>
      <c r="E4">
        <v>0</v>
      </c>
      <c r="F4">
        <f t="shared" si="0"/>
        <v>0</v>
      </c>
    </row>
    <row r="5" spans="1:6" x14ac:dyDescent="0.25">
      <c r="A5" t="s">
        <v>4</v>
      </c>
      <c r="B5">
        <v>0</v>
      </c>
      <c r="C5">
        <v>0</v>
      </c>
      <c r="D5">
        <v>0</v>
      </c>
      <c r="E5">
        <v>0</v>
      </c>
      <c r="F5">
        <f t="shared" si="0"/>
        <v>0</v>
      </c>
    </row>
    <row r="6" spans="1:6" x14ac:dyDescent="0.25">
      <c r="A6" t="s">
        <v>5</v>
      </c>
      <c r="B6">
        <v>0</v>
      </c>
      <c r="C6">
        <v>0</v>
      </c>
      <c r="D6">
        <v>0</v>
      </c>
      <c r="E6">
        <v>0</v>
      </c>
      <c r="F6">
        <f t="shared" si="0"/>
        <v>0</v>
      </c>
    </row>
    <row r="7" spans="1:6" x14ac:dyDescent="0.25">
      <c r="A7" t="s">
        <v>6</v>
      </c>
      <c r="B7">
        <v>20</v>
      </c>
      <c r="C7">
        <v>0</v>
      </c>
      <c r="D7">
        <v>0</v>
      </c>
      <c r="E7">
        <v>0</v>
      </c>
      <c r="F7">
        <f t="shared" si="0"/>
        <v>0</v>
      </c>
    </row>
    <row r="8" spans="1:6" x14ac:dyDescent="0.25">
      <c r="A8" t="s">
        <v>7</v>
      </c>
      <c r="B8">
        <v>0</v>
      </c>
      <c r="C8">
        <v>20</v>
      </c>
      <c r="D8">
        <v>20</v>
      </c>
      <c r="E8">
        <v>0</v>
      </c>
      <c r="F8">
        <f t="shared" si="0"/>
        <v>2</v>
      </c>
    </row>
    <row r="9" spans="1:6" x14ac:dyDescent="0.25">
      <c r="A9" t="s">
        <v>8</v>
      </c>
      <c r="B9">
        <v>0</v>
      </c>
      <c r="C9">
        <v>20</v>
      </c>
      <c r="D9">
        <v>20</v>
      </c>
      <c r="E9">
        <v>0</v>
      </c>
      <c r="F9">
        <f t="shared" si="0"/>
        <v>2</v>
      </c>
    </row>
    <row r="10" spans="1:6" x14ac:dyDescent="0.25">
      <c r="A10" t="s">
        <v>9</v>
      </c>
      <c r="B10">
        <v>3</v>
      </c>
      <c r="C10">
        <v>0</v>
      </c>
      <c r="D10">
        <v>0</v>
      </c>
      <c r="E10">
        <v>0</v>
      </c>
      <c r="F10">
        <f t="shared" si="0"/>
        <v>0</v>
      </c>
    </row>
    <row r="11" spans="1:6" x14ac:dyDescent="0.25">
      <c r="A11" t="s">
        <v>10</v>
      </c>
      <c r="B11">
        <v>3</v>
      </c>
      <c r="C11">
        <v>0</v>
      </c>
      <c r="D11">
        <v>0</v>
      </c>
      <c r="E11">
        <v>0</v>
      </c>
      <c r="F11">
        <f t="shared" si="0"/>
        <v>0</v>
      </c>
    </row>
    <row r="12" spans="1:6" x14ac:dyDescent="0.25">
      <c r="A12" t="s">
        <v>11</v>
      </c>
      <c r="B12">
        <v>3</v>
      </c>
      <c r="C12">
        <v>0</v>
      </c>
      <c r="D12">
        <v>0</v>
      </c>
      <c r="E12">
        <v>0</v>
      </c>
      <c r="F12">
        <f t="shared" si="0"/>
        <v>0</v>
      </c>
    </row>
    <row r="13" spans="1:6" x14ac:dyDescent="0.25">
      <c r="A13" t="s">
        <v>12</v>
      </c>
      <c r="B13">
        <v>0</v>
      </c>
      <c r="C13">
        <v>3</v>
      </c>
      <c r="D13">
        <v>0</v>
      </c>
      <c r="E13">
        <v>0</v>
      </c>
      <c r="F13">
        <f t="shared" si="0"/>
        <v>1</v>
      </c>
    </row>
    <row r="14" spans="1:6" x14ac:dyDescent="0.25">
      <c r="A14" t="s">
        <v>13</v>
      </c>
      <c r="B14">
        <v>20</v>
      </c>
      <c r="C14">
        <v>0</v>
      </c>
      <c r="D14">
        <v>0</v>
      </c>
      <c r="E14">
        <v>0</v>
      </c>
      <c r="F14">
        <f t="shared" si="0"/>
        <v>0</v>
      </c>
    </row>
    <row r="15" spans="1:6" x14ac:dyDescent="0.25">
      <c r="A15" t="s">
        <v>14</v>
      </c>
      <c r="B15">
        <v>0</v>
      </c>
      <c r="C15">
        <v>20</v>
      </c>
      <c r="D15">
        <v>20</v>
      </c>
      <c r="E15">
        <v>0</v>
      </c>
      <c r="F15">
        <f t="shared" si="0"/>
        <v>2</v>
      </c>
    </row>
    <row r="16" spans="1:6" x14ac:dyDescent="0.25">
      <c r="A16" t="s">
        <v>15</v>
      </c>
      <c r="B16">
        <v>0</v>
      </c>
      <c r="C16">
        <v>20</v>
      </c>
      <c r="D16">
        <v>20</v>
      </c>
      <c r="E16">
        <v>0</v>
      </c>
      <c r="F16">
        <f t="shared" si="0"/>
        <v>2</v>
      </c>
    </row>
    <row r="17" spans="1:6" x14ac:dyDescent="0.25">
      <c r="A17" t="s">
        <v>16</v>
      </c>
      <c r="B17">
        <v>4</v>
      </c>
      <c r="C17">
        <v>0</v>
      </c>
      <c r="D17">
        <v>0</v>
      </c>
      <c r="E17">
        <v>0</v>
      </c>
      <c r="F17">
        <f t="shared" si="0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11D6-129A-4B62-9357-061F8C441116}">
  <dimension ref="A1:N65"/>
  <sheetViews>
    <sheetView workbookViewId="0">
      <selection activeCell="G1" sqref="G1"/>
    </sheetView>
  </sheetViews>
  <sheetFormatPr defaultRowHeight="15" x14ac:dyDescent="0.25"/>
  <cols>
    <col min="9" max="9" width="13.140625" bestFit="1" customWidth="1"/>
    <col min="10" max="10" width="15.28515625" bestFit="1" customWidth="1"/>
    <col min="11" max="11" width="16.7109375" bestFit="1" customWidth="1"/>
    <col min="12" max="25" width="16.28515625" bestFit="1" customWidth="1"/>
    <col min="26" max="26" width="11.28515625" bestFit="1" customWidth="1"/>
  </cols>
  <sheetData>
    <row r="1" spans="1:14" x14ac:dyDescent="0.25">
      <c r="A1" s="1" t="s">
        <v>0</v>
      </c>
      <c r="B1" s="1" t="s">
        <v>23</v>
      </c>
      <c r="C1" s="1" t="s">
        <v>21</v>
      </c>
      <c r="D1" s="5" t="s">
        <v>25</v>
      </c>
      <c r="E1" s="5" t="s">
        <v>28</v>
      </c>
      <c r="F1" s="5" t="s">
        <v>26</v>
      </c>
    </row>
    <row r="2" spans="1:14" x14ac:dyDescent="0.25">
      <c r="A2" t="str">
        <f>INDEX(Shift_Data!$A$2:$A$500,ROUNDUP((ROW()-1)/4,0))</f>
        <v>Pri1</v>
      </c>
      <c r="B2" t="str">
        <f>INDEX(Shift_Data!$B$1:$E$1,IF(MOD(ROW()-1,4)=0,4,MOD(ROW()-1,4)))</f>
        <v>Day</v>
      </c>
      <c r="C2">
        <f>INDEX(Shift_Data!$B$2:$E$17, MATCH(A2, Shift_Data!$A$2:$A$17, 0), MATCH(B2, Shift_Data!$B$1:$E$1, 0))</f>
        <v>6</v>
      </c>
      <c r="D2">
        <f t="shared" ref="D2" si="0">IF(B2="Day",8,7)</f>
        <v>8</v>
      </c>
      <c r="E2">
        <f>IF(B2="day",35000,40000)</f>
        <v>35000</v>
      </c>
      <c r="F2" t="str">
        <f>LEFT(A2,3)</f>
        <v>Pri</v>
      </c>
      <c r="N2" s="6"/>
    </row>
    <row r="3" spans="1:14" x14ac:dyDescent="0.25">
      <c r="A3" t="str">
        <f>INDEX(Shift_Data!$A$2:$A$500,ROUNDUP((ROW()-1)/4,0))</f>
        <v>Pri1</v>
      </c>
      <c r="B3" t="str">
        <f>INDEX(Shift_Data!$B$1:$E$1,IF(MOD(ROW()-1,4)=0,4,MOD(ROW()-1,4)))</f>
        <v>Sday_1</v>
      </c>
      <c r="C3">
        <f>INDEX(Shift_Data!$B$2:$E$17, MATCH(A3, Shift_Data!$A$2:$A$17, 0), MATCH(B3, Shift_Data!$B$1:$E$1, 0))</f>
        <v>0</v>
      </c>
      <c r="D3">
        <f t="shared" ref="D3:D65" si="1">IF(B3="Day",8,7)</f>
        <v>7</v>
      </c>
      <c r="E3">
        <f t="shared" ref="E3:E65" si="2">IF(B3="day",35000,40000)</f>
        <v>40000</v>
      </c>
      <c r="F3" t="str">
        <f t="shared" ref="F3:F65" si="3">LEFT(A3,3)</f>
        <v>Pri</v>
      </c>
      <c r="N3" s="6"/>
    </row>
    <row r="4" spans="1:14" x14ac:dyDescent="0.25">
      <c r="A4" t="str">
        <f>INDEX(Shift_Data!$A$2:$A$500,ROUNDUP((ROW()-1)/4,0))</f>
        <v>Pri1</v>
      </c>
      <c r="B4" t="str">
        <f>INDEX(Shift_Data!$B$1:$E$1,IF(MOD(ROW()-1,4)=0,4,MOD(ROW()-1,4)))</f>
        <v>Sday_2</v>
      </c>
      <c r="C4">
        <f>INDEX(Shift_Data!$B$2:$E$17, MATCH(A4, Shift_Data!$A$2:$A$17, 0), MATCH(B4, Shift_Data!$B$1:$E$1, 0))</f>
        <v>0</v>
      </c>
      <c r="D4">
        <f t="shared" si="1"/>
        <v>7</v>
      </c>
      <c r="E4">
        <f t="shared" si="2"/>
        <v>40000</v>
      </c>
      <c r="F4" t="str">
        <f t="shared" si="3"/>
        <v>Pri</v>
      </c>
      <c r="N4" s="6"/>
    </row>
    <row r="5" spans="1:14" x14ac:dyDescent="0.25">
      <c r="A5" t="str">
        <f>INDEX(Shift_Data!$A$2:$A$500,ROUNDUP((ROW()-1)/4,0))</f>
        <v>Pri1</v>
      </c>
      <c r="B5" t="str">
        <f>INDEX(Shift_Data!$B$1:$E$1,IF(MOD(ROW()-1,4)=0,4,MOD(ROW()-1,4)))</f>
        <v>Night</v>
      </c>
      <c r="C5">
        <f>INDEX(Shift_Data!$B$2:$E$17, MATCH(A5, Shift_Data!$A$2:$A$17, 0), MATCH(B5, Shift_Data!$B$1:$E$1, 0))</f>
        <v>0</v>
      </c>
      <c r="D5">
        <f t="shared" si="1"/>
        <v>7</v>
      </c>
      <c r="E5">
        <f t="shared" si="2"/>
        <v>40000</v>
      </c>
      <c r="F5" t="str">
        <f t="shared" si="3"/>
        <v>Pri</v>
      </c>
      <c r="N5" s="6"/>
    </row>
    <row r="6" spans="1:14" x14ac:dyDescent="0.25">
      <c r="A6" t="str">
        <f>INDEX(Shift_Data!$A$2:$A$500,ROUNDUP((ROW()-1)/4,0))</f>
        <v>Pri2</v>
      </c>
      <c r="B6" t="str">
        <f>INDEX(Shift_Data!$B$1:$E$1,IF(MOD(ROW()-1,4)=0,4,MOD(ROW()-1,4)))</f>
        <v>Day</v>
      </c>
      <c r="C6">
        <f>INDEX(Shift_Data!$B$2:$E$17, MATCH(A6, Shift_Data!$A$2:$A$17, 0), MATCH(B6, Shift_Data!$B$1:$E$1, 0))</f>
        <v>6</v>
      </c>
      <c r="D6">
        <f t="shared" si="1"/>
        <v>8</v>
      </c>
      <c r="E6">
        <f t="shared" si="2"/>
        <v>35000</v>
      </c>
      <c r="F6" t="str">
        <f t="shared" si="3"/>
        <v>Pri</v>
      </c>
      <c r="N6" s="6"/>
    </row>
    <row r="7" spans="1:14" x14ac:dyDescent="0.25">
      <c r="A7" t="str">
        <f>INDEX(Shift_Data!$A$2:$A$500,ROUNDUP((ROW()-1)/4,0))</f>
        <v>Pri2</v>
      </c>
      <c r="B7" t="str">
        <f>INDEX(Shift_Data!$B$1:$E$1,IF(MOD(ROW()-1,4)=0,4,MOD(ROW()-1,4)))</f>
        <v>Sday_1</v>
      </c>
      <c r="C7">
        <f>INDEX(Shift_Data!$B$2:$E$17, MATCH(A7, Shift_Data!$A$2:$A$17, 0), MATCH(B7, Shift_Data!$B$1:$E$1, 0))</f>
        <v>0</v>
      </c>
      <c r="D7">
        <f t="shared" si="1"/>
        <v>7</v>
      </c>
      <c r="E7">
        <f t="shared" si="2"/>
        <v>40000</v>
      </c>
      <c r="F7" t="str">
        <f t="shared" si="3"/>
        <v>Pri</v>
      </c>
      <c r="N7" s="6"/>
    </row>
    <row r="8" spans="1:14" x14ac:dyDescent="0.25">
      <c r="A8" t="str">
        <f>INDEX(Shift_Data!$A$2:$A$500,ROUNDUP((ROW()-1)/4,0))</f>
        <v>Pri2</v>
      </c>
      <c r="B8" t="str">
        <f>INDEX(Shift_Data!$B$1:$E$1,IF(MOD(ROW()-1,4)=0,4,MOD(ROW()-1,4)))</f>
        <v>Sday_2</v>
      </c>
      <c r="C8">
        <f>INDEX(Shift_Data!$B$2:$E$17, MATCH(A8, Shift_Data!$A$2:$A$17, 0), MATCH(B8, Shift_Data!$B$1:$E$1, 0))</f>
        <v>0</v>
      </c>
      <c r="D8">
        <f t="shared" si="1"/>
        <v>7</v>
      </c>
      <c r="E8">
        <f t="shared" si="2"/>
        <v>40000</v>
      </c>
      <c r="F8" t="str">
        <f t="shared" si="3"/>
        <v>Pri</v>
      </c>
    </row>
    <row r="9" spans="1:14" x14ac:dyDescent="0.25">
      <c r="A9" t="str">
        <f>INDEX(Shift_Data!$A$2:$A$500,ROUNDUP((ROW()-1)/4,0))</f>
        <v>Pri2</v>
      </c>
      <c r="B9" t="str">
        <f>INDEX(Shift_Data!$B$1:$E$1,IF(MOD(ROW()-1,4)=0,4,MOD(ROW()-1,4)))</f>
        <v>Night</v>
      </c>
      <c r="C9">
        <f>INDEX(Shift_Data!$B$2:$E$17, MATCH(A9, Shift_Data!$A$2:$A$17, 0), MATCH(B9, Shift_Data!$B$1:$E$1, 0))</f>
        <v>0</v>
      </c>
      <c r="D9">
        <f t="shared" si="1"/>
        <v>7</v>
      </c>
      <c r="E9">
        <f t="shared" si="2"/>
        <v>40000</v>
      </c>
      <c r="F9" t="str">
        <f t="shared" si="3"/>
        <v>Pri</v>
      </c>
    </row>
    <row r="10" spans="1:14" x14ac:dyDescent="0.25">
      <c r="A10" t="str">
        <f>INDEX(Shift_Data!$A$2:$A$500,ROUNDUP((ROW()-1)/4,0))</f>
        <v>Cut1</v>
      </c>
      <c r="B10" t="str">
        <f>INDEX(Shift_Data!$B$1:$E$1,IF(MOD(ROW()-1,4)=0,4,MOD(ROW()-1,4)))</f>
        <v>Day</v>
      </c>
      <c r="C10">
        <f>INDEX(Shift_Data!$B$2:$E$17, MATCH(A10, Shift_Data!$A$2:$A$17, 0), MATCH(B10, Shift_Data!$B$1:$E$1, 0))</f>
        <v>10</v>
      </c>
      <c r="D10">
        <f t="shared" si="1"/>
        <v>8</v>
      </c>
      <c r="E10">
        <f t="shared" si="2"/>
        <v>35000</v>
      </c>
      <c r="F10" t="str">
        <f t="shared" si="3"/>
        <v>Cut</v>
      </c>
    </row>
    <row r="11" spans="1:14" x14ac:dyDescent="0.25">
      <c r="A11" t="str">
        <f>INDEX(Shift_Data!$A$2:$A$500,ROUNDUP((ROW()-1)/4,0))</f>
        <v>Cut1</v>
      </c>
      <c r="B11" t="str">
        <f>INDEX(Shift_Data!$B$1:$E$1,IF(MOD(ROW()-1,4)=0,4,MOD(ROW()-1,4)))</f>
        <v>Sday_1</v>
      </c>
      <c r="C11">
        <f>INDEX(Shift_Data!$B$2:$E$17, MATCH(A11, Shift_Data!$A$2:$A$17, 0), MATCH(B11, Shift_Data!$B$1:$E$1, 0))</f>
        <v>0</v>
      </c>
      <c r="D11">
        <f t="shared" si="1"/>
        <v>7</v>
      </c>
      <c r="E11">
        <f t="shared" si="2"/>
        <v>40000</v>
      </c>
      <c r="F11" t="str">
        <f t="shared" si="3"/>
        <v>Cut</v>
      </c>
    </row>
    <row r="12" spans="1:14" x14ac:dyDescent="0.25">
      <c r="A12" t="str">
        <f>INDEX(Shift_Data!$A$2:$A$500,ROUNDUP((ROW()-1)/4,0))</f>
        <v>Cut1</v>
      </c>
      <c r="B12" t="str">
        <f>INDEX(Shift_Data!$B$1:$E$1,IF(MOD(ROW()-1,4)=0,4,MOD(ROW()-1,4)))</f>
        <v>Sday_2</v>
      </c>
      <c r="C12">
        <f>INDEX(Shift_Data!$B$2:$E$17, MATCH(A12, Shift_Data!$A$2:$A$17, 0), MATCH(B12, Shift_Data!$B$1:$E$1, 0))</f>
        <v>0</v>
      </c>
      <c r="D12">
        <f t="shared" si="1"/>
        <v>7</v>
      </c>
      <c r="E12">
        <f t="shared" si="2"/>
        <v>40000</v>
      </c>
      <c r="F12" t="str">
        <f t="shared" si="3"/>
        <v>Cut</v>
      </c>
    </row>
    <row r="13" spans="1:14" x14ac:dyDescent="0.25">
      <c r="A13" t="str">
        <f>INDEX(Shift_Data!$A$2:$A$500,ROUNDUP((ROW()-1)/4,0))</f>
        <v>Cut1</v>
      </c>
      <c r="B13" t="str">
        <f>INDEX(Shift_Data!$B$1:$E$1,IF(MOD(ROW()-1,4)=0,4,MOD(ROW()-1,4)))</f>
        <v>Night</v>
      </c>
      <c r="C13">
        <f>INDEX(Shift_Data!$B$2:$E$17, MATCH(A13, Shift_Data!$A$2:$A$17, 0), MATCH(B13, Shift_Data!$B$1:$E$1, 0))</f>
        <v>0</v>
      </c>
      <c r="D13">
        <f t="shared" si="1"/>
        <v>7</v>
      </c>
      <c r="E13">
        <f t="shared" si="2"/>
        <v>40000</v>
      </c>
      <c r="F13" t="str">
        <f t="shared" si="3"/>
        <v>Cut</v>
      </c>
    </row>
    <row r="14" spans="1:14" x14ac:dyDescent="0.25">
      <c r="A14" t="str">
        <f>INDEX(Shift_Data!$A$2:$A$500,ROUNDUP((ROW()-1)/4,0))</f>
        <v>Cut2</v>
      </c>
      <c r="B14" t="str">
        <f>INDEX(Shift_Data!$B$1:$E$1,IF(MOD(ROW()-1,4)=0,4,MOD(ROW()-1,4)))</f>
        <v>Day</v>
      </c>
      <c r="C14">
        <f>INDEX(Shift_Data!$B$2:$E$17, MATCH(A14, Shift_Data!$A$2:$A$17, 0), MATCH(B14, Shift_Data!$B$1:$E$1, 0))</f>
        <v>0</v>
      </c>
      <c r="D14">
        <f t="shared" si="1"/>
        <v>8</v>
      </c>
      <c r="E14">
        <f t="shared" si="2"/>
        <v>35000</v>
      </c>
      <c r="F14" t="str">
        <f t="shared" si="3"/>
        <v>Cut</v>
      </c>
    </row>
    <row r="15" spans="1:14" x14ac:dyDescent="0.25">
      <c r="A15" t="str">
        <f>INDEX(Shift_Data!$A$2:$A$500,ROUNDUP((ROW()-1)/4,0))</f>
        <v>Cut2</v>
      </c>
      <c r="B15" t="str">
        <f>INDEX(Shift_Data!$B$1:$E$1,IF(MOD(ROW()-1,4)=0,4,MOD(ROW()-1,4)))</f>
        <v>Sday_1</v>
      </c>
      <c r="C15">
        <f>INDEX(Shift_Data!$B$2:$E$17, MATCH(A15, Shift_Data!$A$2:$A$17, 0), MATCH(B15, Shift_Data!$B$1:$E$1, 0))</f>
        <v>0</v>
      </c>
      <c r="D15">
        <f t="shared" si="1"/>
        <v>7</v>
      </c>
      <c r="E15">
        <f t="shared" si="2"/>
        <v>40000</v>
      </c>
      <c r="F15" t="str">
        <f t="shared" si="3"/>
        <v>Cut</v>
      </c>
    </row>
    <row r="16" spans="1:14" x14ac:dyDescent="0.25">
      <c r="A16" t="str">
        <f>INDEX(Shift_Data!$A$2:$A$500,ROUNDUP((ROW()-1)/4,0))</f>
        <v>Cut2</v>
      </c>
      <c r="B16" t="str">
        <f>INDEX(Shift_Data!$B$1:$E$1,IF(MOD(ROW()-1,4)=0,4,MOD(ROW()-1,4)))</f>
        <v>Sday_2</v>
      </c>
      <c r="C16">
        <f>INDEX(Shift_Data!$B$2:$E$17, MATCH(A16, Shift_Data!$A$2:$A$17, 0), MATCH(B16, Shift_Data!$B$1:$E$1, 0))</f>
        <v>0</v>
      </c>
      <c r="D16">
        <f t="shared" si="1"/>
        <v>7</v>
      </c>
      <c r="E16">
        <f t="shared" si="2"/>
        <v>40000</v>
      </c>
      <c r="F16" t="str">
        <f t="shared" si="3"/>
        <v>Cut</v>
      </c>
    </row>
    <row r="17" spans="1:6" x14ac:dyDescent="0.25">
      <c r="A17" t="str">
        <f>INDEX(Shift_Data!$A$2:$A$500,ROUNDUP((ROW()-1)/4,0))</f>
        <v>Cut2</v>
      </c>
      <c r="B17" t="str">
        <f>INDEX(Shift_Data!$B$1:$E$1,IF(MOD(ROW()-1,4)=0,4,MOD(ROW()-1,4)))</f>
        <v>Night</v>
      </c>
      <c r="C17">
        <f>INDEX(Shift_Data!$B$2:$E$17, MATCH(A17, Shift_Data!$A$2:$A$17, 0), MATCH(B17, Shift_Data!$B$1:$E$1, 0))</f>
        <v>0</v>
      </c>
      <c r="D17">
        <f t="shared" si="1"/>
        <v>7</v>
      </c>
      <c r="E17">
        <f t="shared" si="2"/>
        <v>40000</v>
      </c>
      <c r="F17" t="str">
        <f t="shared" si="3"/>
        <v>Cut</v>
      </c>
    </row>
    <row r="18" spans="1:6" x14ac:dyDescent="0.25">
      <c r="A18" t="str">
        <f>INDEX(Shift_Data!$A$2:$A$500,ROUNDUP((ROW()-1)/4,0))</f>
        <v>Cut3</v>
      </c>
      <c r="B18" t="str">
        <f>INDEX(Shift_Data!$B$1:$E$1,IF(MOD(ROW()-1,4)=0,4,MOD(ROW()-1,4)))</f>
        <v>Day</v>
      </c>
      <c r="C18">
        <f>INDEX(Shift_Data!$B$2:$E$17, MATCH(A18, Shift_Data!$A$2:$A$17, 0), MATCH(B18, Shift_Data!$B$1:$E$1, 0))</f>
        <v>0</v>
      </c>
      <c r="D18">
        <f t="shared" si="1"/>
        <v>8</v>
      </c>
      <c r="E18">
        <f t="shared" si="2"/>
        <v>35000</v>
      </c>
      <c r="F18" t="str">
        <f t="shared" si="3"/>
        <v>Cut</v>
      </c>
    </row>
    <row r="19" spans="1:6" x14ac:dyDescent="0.25">
      <c r="A19" t="str">
        <f>INDEX(Shift_Data!$A$2:$A$500,ROUNDUP((ROW()-1)/4,0))</f>
        <v>Cut3</v>
      </c>
      <c r="B19" t="str">
        <f>INDEX(Shift_Data!$B$1:$E$1,IF(MOD(ROW()-1,4)=0,4,MOD(ROW()-1,4)))</f>
        <v>Sday_1</v>
      </c>
      <c r="C19">
        <f>INDEX(Shift_Data!$B$2:$E$17, MATCH(A19, Shift_Data!$A$2:$A$17, 0), MATCH(B19, Shift_Data!$B$1:$E$1, 0))</f>
        <v>0</v>
      </c>
      <c r="D19">
        <f t="shared" si="1"/>
        <v>7</v>
      </c>
      <c r="E19">
        <f t="shared" si="2"/>
        <v>40000</v>
      </c>
      <c r="F19" t="str">
        <f t="shared" si="3"/>
        <v>Cut</v>
      </c>
    </row>
    <row r="20" spans="1:6" x14ac:dyDescent="0.25">
      <c r="A20" t="str">
        <f>INDEX(Shift_Data!$A$2:$A$500,ROUNDUP((ROW()-1)/4,0))</f>
        <v>Cut3</v>
      </c>
      <c r="B20" t="str">
        <f>INDEX(Shift_Data!$B$1:$E$1,IF(MOD(ROW()-1,4)=0,4,MOD(ROW()-1,4)))</f>
        <v>Sday_2</v>
      </c>
      <c r="C20">
        <f>INDEX(Shift_Data!$B$2:$E$17, MATCH(A20, Shift_Data!$A$2:$A$17, 0), MATCH(B20, Shift_Data!$B$1:$E$1, 0))</f>
        <v>0</v>
      </c>
      <c r="D20">
        <f t="shared" si="1"/>
        <v>7</v>
      </c>
      <c r="E20">
        <f t="shared" si="2"/>
        <v>40000</v>
      </c>
      <c r="F20" t="str">
        <f t="shared" si="3"/>
        <v>Cut</v>
      </c>
    </row>
    <row r="21" spans="1:6" x14ac:dyDescent="0.25">
      <c r="A21" t="str">
        <f>INDEX(Shift_Data!$A$2:$A$500,ROUNDUP((ROW()-1)/4,0))</f>
        <v>Cut3</v>
      </c>
      <c r="B21" t="str">
        <f>INDEX(Shift_Data!$B$1:$E$1,IF(MOD(ROW()-1,4)=0,4,MOD(ROW()-1,4)))</f>
        <v>Night</v>
      </c>
      <c r="C21">
        <f>INDEX(Shift_Data!$B$2:$E$17, MATCH(A21, Shift_Data!$A$2:$A$17, 0), MATCH(B21, Shift_Data!$B$1:$E$1, 0))</f>
        <v>0</v>
      </c>
      <c r="D21">
        <f t="shared" si="1"/>
        <v>7</v>
      </c>
      <c r="E21">
        <f t="shared" si="2"/>
        <v>40000</v>
      </c>
      <c r="F21" t="str">
        <f t="shared" si="3"/>
        <v>Cut</v>
      </c>
    </row>
    <row r="22" spans="1:6" x14ac:dyDescent="0.25">
      <c r="A22" t="str">
        <f>INDEX(Shift_Data!$A$2:$A$500,ROUNDUP((ROW()-1)/4,0))</f>
        <v>Man1</v>
      </c>
      <c r="B22" t="str">
        <f>INDEX(Shift_Data!$B$1:$E$1,IF(MOD(ROW()-1,4)=0,4,MOD(ROW()-1,4)))</f>
        <v>Day</v>
      </c>
      <c r="C22">
        <f>INDEX(Shift_Data!$B$2:$E$17, MATCH(A22, Shift_Data!$A$2:$A$17, 0), MATCH(B22, Shift_Data!$B$1:$E$1, 0))</f>
        <v>20</v>
      </c>
      <c r="D22">
        <f t="shared" si="1"/>
        <v>8</v>
      </c>
      <c r="E22">
        <f t="shared" si="2"/>
        <v>35000</v>
      </c>
      <c r="F22" t="str">
        <f t="shared" si="3"/>
        <v>Man</v>
      </c>
    </row>
    <row r="23" spans="1:6" x14ac:dyDescent="0.25">
      <c r="A23" t="str">
        <f>INDEX(Shift_Data!$A$2:$A$500,ROUNDUP((ROW()-1)/4,0))</f>
        <v>Man1</v>
      </c>
      <c r="B23" t="str">
        <f>INDEX(Shift_Data!$B$1:$E$1,IF(MOD(ROW()-1,4)=0,4,MOD(ROW()-1,4)))</f>
        <v>Sday_1</v>
      </c>
      <c r="C23">
        <f>INDEX(Shift_Data!$B$2:$E$17, MATCH(A23, Shift_Data!$A$2:$A$17, 0), MATCH(B23, Shift_Data!$B$1:$E$1, 0))</f>
        <v>0</v>
      </c>
      <c r="D23">
        <f t="shared" si="1"/>
        <v>7</v>
      </c>
      <c r="E23">
        <f t="shared" si="2"/>
        <v>40000</v>
      </c>
      <c r="F23" t="str">
        <f t="shared" si="3"/>
        <v>Man</v>
      </c>
    </row>
    <row r="24" spans="1:6" x14ac:dyDescent="0.25">
      <c r="A24" t="str">
        <f>INDEX(Shift_Data!$A$2:$A$500,ROUNDUP((ROW()-1)/4,0))</f>
        <v>Man1</v>
      </c>
      <c r="B24" t="str">
        <f>INDEX(Shift_Data!$B$1:$E$1,IF(MOD(ROW()-1,4)=0,4,MOD(ROW()-1,4)))</f>
        <v>Sday_2</v>
      </c>
      <c r="C24">
        <f>INDEX(Shift_Data!$B$2:$E$17, MATCH(A24, Shift_Data!$A$2:$A$17, 0), MATCH(B24, Shift_Data!$B$1:$E$1, 0))</f>
        <v>0</v>
      </c>
      <c r="D24">
        <f t="shared" si="1"/>
        <v>7</v>
      </c>
      <c r="E24">
        <f t="shared" si="2"/>
        <v>40000</v>
      </c>
      <c r="F24" t="str">
        <f t="shared" si="3"/>
        <v>Man</v>
      </c>
    </row>
    <row r="25" spans="1:6" x14ac:dyDescent="0.25">
      <c r="A25" t="str">
        <f>INDEX(Shift_Data!$A$2:$A$500,ROUNDUP((ROW()-1)/4,0))</f>
        <v>Man1</v>
      </c>
      <c r="B25" t="str">
        <f>INDEX(Shift_Data!$B$1:$E$1,IF(MOD(ROW()-1,4)=0,4,MOD(ROW()-1,4)))</f>
        <v>Night</v>
      </c>
      <c r="C25">
        <f>INDEX(Shift_Data!$B$2:$E$17, MATCH(A25, Shift_Data!$A$2:$A$17, 0), MATCH(B25, Shift_Data!$B$1:$E$1, 0))</f>
        <v>0</v>
      </c>
      <c r="D25">
        <f t="shared" si="1"/>
        <v>7</v>
      </c>
      <c r="E25">
        <f t="shared" si="2"/>
        <v>40000</v>
      </c>
      <c r="F25" t="str">
        <f t="shared" si="3"/>
        <v>Man</v>
      </c>
    </row>
    <row r="26" spans="1:6" x14ac:dyDescent="0.25">
      <c r="A26" t="str">
        <f>INDEX(Shift_Data!$A$2:$A$500,ROUNDUP((ROW()-1)/4,0))</f>
        <v>Man2</v>
      </c>
      <c r="B26" t="str">
        <f>INDEX(Shift_Data!$B$1:$E$1,IF(MOD(ROW()-1,4)=0,4,MOD(ROW()-1,4)))</f>
        <v>Day</v>
      </c>
      <c r="C26">
        <f>INDEX(Shift_Data!$B$2:$E$17, MATCH(A26, Shift_Data!$A$2:$A$17, 0), MATCH(B26, Shift_Data!$B$1:$E$1, 0))</f>
        <v>0</v>
      </c>
      <c r="D26">
        <f t="shared" si="1"/>
        <v>8</v>
      </c>
      <c r="E26">
        <f t="shared" si="2"/>
        <v>35000</v>
      </c>
      <c r="F26" t="str">
        <f t="shared" si="3"/>
        <v>Man</v>
      </c>
    </row>
    <row r="27" spans="1:6" x14ac:dyDescent="0.25">
      <c r="A27" t="str">
        <f>INDEX(Shift_Data!$A$2:$A$500,ROUNDUP((ROW()-1)/4,0))</f>
        <v>Man2</v>
      </c>
      <c r="B27" t="str">
        <f>INDEX(Shift_Data!$B$1:$E$1,IF(MOD(ROW()-1,4)=0,4,MOD(ROW()-1,4)))</f>
        <v>Sday_1</v>
      </c>
      <c r="C27">
        <f>INDEX(Shift_Data!$B$2:$E$17, MATCH(A27, Shift_Data!$A$2:$A$17, 0), MATCH(B27, Shift_Data!$B$1:$E$1, 0))</f>
        <v>20</v>
      </c>
      <c r="D27">
        <f t="shared" si="1"/>
        <v>7</v>
      </c>
      <c r="E27">
        <f t="shared" si="2"/>
        <v>40000</v>
      </c>
      <c r="F27" t="str">
        <f t="shared" si="3"/>
        <v>Man</v>
      </c>
    </row>
    <row r="28" spans="1:6" x14ac:dyDescent="0.25">
      <c r="A28" t="str">
        <f>INDEX(Shift_Data!$A$2:$A$500,ROUNDUP((ROW()-1)/4,0))</f>
        <v>Man2</v>
      </c>
      <c r="B28" t="str">
        <f>INDEX(Shift_Data!$B$1:$E$1,IF(MOD(ROW()-1,4)=0,4,MOD(ROW()-1,4)))</f>
        <v>Sday_2</v>
      </c>
      <c r="C28">
        <f>INDEX(Shift_Data!$B$2:$E$17, MATCH(A28, Shift_Data!$A$2:$A$17, 0), MATCH(B28, Shift_Data!$B$1:$E$1, 0))</f>
        <v>20</v>
      </c>
      <c r="D28">
        <f t="shared" si="1"/>
        <v>7</v>
      </c>
      <c r="E28">
        <f t="shared" si="2"/>
        <v>40000</v>
      </c>
      <c r="F28" t="str">
        <f t="shared" si="3"/>
        <v>Man</v>
      </c>
    </row>
    <row r="29" spans="1:6" x14ac:dyDescent="0.25">
      <c r="A29" t="str">
        <f>INDEX(Shift_Data!$A$2:$A$500,ROUNDUP((ROW()-1)/4,0))</f>
        <v>Man2</v>
      </c>
      <c r="B29" t="str">
        <f>INDEX(Shift_Data!$B$1:$E$1,IF(MOD(ROW()-1,4)=0,4,MOD(ROW()-1,4)))</f>
        <v>Night</v>
      </c>
      <c r="C29">
        <f>INDEX(Shift_Data!$B$2:$E$17, MATCH(A29, Shift_Data!$A$2:$A$17, 0), MATCH(B29, Shift_Data!$B$1:$E$1, 0))</f>
        <v>0</v>
      </c>
      <c r="D29">
        <f t="shared" si="1"/>
        <v>7</v>
      </c>
      <c r="E29">
        <f t="shared" si="2"/>
        <v>40000</v>
      </c>
      <c r="F29" t="str">
        <f t="shared" si="3"/>
        <v>Man</v>
      </c>
    </row>
    <row r="30" spans="1:6" x14ac:dyDescent="0.25">
      <c r="A30" t="str">
        <f>INDEX(Shift_Data!$A$2:$A$500,ROUNDUP((ROW()-1)/4,0))</f>
        <v>Man3</v>
      </c>
      <c r="B30" t="str">
        <f>INDEX(Shift_Data!$B$1:$E$1,IF(MOD(ROW()-1,4)=0,4,MOD(ROW()-1,4)))</f>
        <v>Day</v>
      </c>
      <c r="C30">
        <f>INDEX(Shift_Data!$B$2:$E$17, MATCH(A30, Shift_Data!$A$2:$A$17, 0), MATCH(B30, Shift_Data!$B$1:$E$1, 0))</f>
        <v>0</v>
      </c>
      <c r="D30">
        <f t="shared" si="1"/>
        <v>8</v>
      </c>
      <c r="E30">
        <f t="shared" si="2"/>
        <v>35000</v>
      </c>
      <c r="F30" t="str">
        <f t="shared" si="3"/>
        <v>Man</v>
      </c>
    </row>
    <row r="31" spans="1:6" x14ac:dyDescent="0.25">
      <c r="A31" t="str">
        <f>INDEX(Shift_Data!$A$2:$A$500,ROUNDUP((ROW()-1)/4,0))</f>
        <v>Man3</v>
      </c>
      <c r="B31" t="str">
        <f>INDEX(Shift_Data!$B$1:$E$1,IF(MOD(ROW()-1,4)=0,4,MOD(ROW()-1,4)))</f>
        <v>Sday_1</v>
      </c>
      <c r="C31">
        <f>INDEX(Shift_Data!$B$2:$E$17, MATCH(A31, Shift_Data!$A$2:$A$17, 0), MATCH(B31, Shift_Data!$B$1:$E$1, 0))</f>
        <v>20</v>
      </c>
      <c r="D31">
        <f t="shared" si="1"/>
        <v>7</v>
      </c>
      <c r="E31">
        <f t="shared" si="2"/>
        <v>40000</v>
      </c>
      <c r="F31" t="str">
        <f t="shared" si="3"/>
        <v>Man</v>
      </c>
    </row>
    <row r="32" spans="1:6" x14ac:dyDescent="0.25">
      <c r="A32" t="str">
        <f>INDEX(Shift_Data!$A$2:$A$500,ROUNDUP((ROW()-1)/4,0))</f>
        <v>Man3</v>
      </c>
      <c r="B32" t="str">
        <f>INDEX(Shift_Data!$B$1:$E$1,IF(MOD(ROW()-1,4)=0,4,MOD(ROW()-1,4)))</f>
        <v>Sday_2</v>
      </c>
      <c r="C32">
        <f>INDEX(Shift_Data!$B$2:$E$17, MATCH(A32, Shift_Data!$A$2:$A$17, 0), MATCH(B32, Shift_Data!$B$1:$E$1, 0))</f>
        <v>20</v>
      </c>
      <c r="D32">
        <f t="shared" si="1"/>
        <v>7</v>
      </c>
      <c r="E32">
        <f t="shared" si="2"/>
        <v>40000</v>
      </c>
      <c r="F32" t="str">
        <f t="shared" si="3"/>
        <v>Man</v>
      </c>
    </row>
    <row r="33" spans="1:6" x14ac:dyDescent="0.25">
      <c r="A33" t="str">
        <f>INDEX(Shift_Data!$A$2:$A$500,ROUNDUP((ROW()-1)/4,0))</f>
        <v>Man3</v>
      </c>
      <c r="B33" t="str">
        <f>INDEX(Shift_Data!$B$1:$E$1,IF(MOD(ROW()-1,4)=0,4,MOD(ROW()-1,4)))</f>
        <v>Night</v>
      </c>
      <c r="C33">
        <f>INDEX(Shift_Data!$B$2:$E$17, MATCH(A33, Shift_Data!$A$2:$A$17, 0), MATCH(B33, Shift_Data!$B$1:$E$1, 0))</f>
        <v>0</v>
      </c>
      <c r="D33">
        <f t="shared" si="1"/>
        <v>7</v>
      </c>
      <c r="E33">
        <f t="shared" si="2"/>
        <v>40000</v>
      </c>
      <c r="F33" t="str">
        <f t="shared" si="3"/>
        <v>Man</v>
      </c>
    </row>
    <row r="34" spans="1:6" x14ac:dyDescent="0.25">
      <c r="A34" t="str">
        <f>INDEX(Shift_Data!$A$2:$A$500,ROUNDUP((ROW()-1)/4,0))</f>
        <v>Sew1</v>
      </c>
      <c r="B34" t="str">
        <f>INDEX(Shift_Data!$B$1:$E$1,IF(MOD(ROW()-1,4)=0,4,MOD(ROW()-1,4)))</f>
        <v>Day</v>
      </c>
      <c r="C34">
        <f>INDEX(Shift_Data!$B$2:$E$17, MATCH(A34, Shift_Data!$A$2:$A$17, 0), MATCH(B34, Shift_Data!$B$1:$E$1, 0))</f>
        <v>3</v>
      </c>
      <c r="D34">
        <f t="shared" si="1"/>
        <v>8</v>
      </c>
      <c r="E34">
        <f t="shared" si="2"/>
        <v>35000</v>
      </c>
      <c r="F34" t="str">
        <f t="shared" si="3"/>
        <v>Sew</v>
      </c>
    </row>
    <row r="35" spans="1:6" x14ac:dyDescent="0.25">
      <c r="A35" t="str">
        <f>INDEX(Shift_Data!$A$2:$A$500,ROUNDUP((ROW()-1)/4,0))</f>
        <v>Sew1</v>
      </c>
      <c r="B35" t="str">
        <f>INDEX(Shift_Data!$B$1:$E$1,IF(MOD(ROW()-1,4)=0,4,MOD(ROW()-1,4)))</f>
        <v>Sday_1</v>
      </c>
      <c r="C35">
        <f>INDEX(Shift_Data!$B$2:$E$17, MATCH(A35, Shift_Data!$A$2:$A$17, 0), MATCH(B35, Shift_Data!$B$1:$E$1, 0))</f>
        <v>0</v>
      </c>
      <c r="D35">
        <f t="shared" si="1"/>
        <v>7</v>
      </c>
      <c r="E35">
        <f t="shared" si="2"/>
        <v>40000</v>
      </c>
      <c r="F35" t="str">
        <f t="shared" si="3"/>
        <v>Sew</v>
      </c>
    </row>
    <row r="36" spans="1:6" x14ac:dyDescent="0.25">
      <c r="A36" t="str">
        <f>INDEX(Shift_Data!$A$2:$A$500,ROUNDUP((ROW()-1)/4,0))</f>
        <v>Sew1</v>
      </c>
      <c r="B36" t="str">
        <f>INDEX(Shift_Data!$B$1:$E$1,IF(MOD(ROW()-1,4)=0,4,MOD(ROW()-1,4)))</f>
        <v>Sday_2</v>
      </c>
      <c r="C36">
        <f>INDEX(Shift_Data!$B$2:$E$17, MATCH(A36, Shift_Data!$A$2:$A$17, 0), MATCH(B36, Shift_Data!$B$1:$E$1, 0))</f>
        <v>0</v>
      </c>
      <c r="D36">
        <f t="shared" si="1"/>
        <v>7</v>
      </c>
      <c r="E36">
        <f t="shared" si="2"/>
        <v>40000</v>
      </c>
      <c r="F36" t="str">
        <f t="shared" si="3"/>
        <v>Sew</v>
      </c>
    </row>
    <row r="37" spans="1:6" x14ac:dyDescent="0.25">
      <c r="A37" t="str">
        <f>INDEX(Shift_Data!$A$2:$A$500,ROUNDUP((ROW()-1)/4,0))</f>
        <v>Sew1</v>
      </c>
      <c r="B37" t="str">
        <f>INDEX(Shift_Data!$B$1:$E$1,IF(MOD(ROW()-1,4)=0,4,MOD(ROW()-1,4)))</f>
        <v>Night</v>
      </c>
      <c r="C37">
        <f>INDEX(Shift_Data!$B$2:$E$17, MATCH(A37, Shift_Data!$A$2:$A$17, 0), MATCH(B37, Shift_Data!$B$1:$E$1, 0))</f>
        <v>0</v>
      </c>
      <c r="D37">
        <f t="shared" si="1"/>
        <v>7</v>
      </c>
      <c r="E37">
        <f t="shared" si="2"/>
        <v>40000</v>
      </c>
      <c r="F37" t="str">
        <f t="shared" si="3"/>
        <v>Sew</v>
      </c>
    </row>
    <row r="38" spans="1:6" x14ac:dyDescent="0.25">
      <c r="A38" t="str">
        <f>INDEX(Shift_Data!$A$2:$A$500,ROUNDUP((ROW()-1)/4,0))</f>
        <v>Sew2</v>
      </c>
      <c r="B38" t="str">
        <f>INDEX(Shift_Data!$B$1:$E$1,IF(MOD(ROW()-1,4)=0,4,MOD(ROW()-1,4)))</f>
        <v>Day</v>
      </c>
      <c r="C38">
        <f>INDEX(Shift_Data!$B$2:$E$17, MATCH(A38, Shift_Data!$A$2:$A$17, 0), MATCH(B38, Shift_Data!$B$1:$E$1, 0))</f>
        <v>3</v>
      </c>
      <c r="D38">
        <f t="shared" si="1"/>
        <v>8</v>
      </c>
      <c r="E38">
        <f t="shared" si="2"/>
        <v>35000</v>
      </c>
      <c r="F38" t="str">
        <f t="shared" si="3"/>
        <v>Sew</v>
      </c>
    </row>
    <row r="39" spans="1:6" x14ac:dyDescent="0.25">
      <c r="A39" t="str">
        <f>INDEX(Shift_Data!$A$2:$A$500,ROUNDUP((ROW()-1)/4,0))</f>
        <v>Sew2</v>
      </c>
      <c r="B39" t="str">
        <f>INDEX(Shift_Data!$B$1:$E$1,IF(MOD(ROW()-1,4)=0,4,MOD(ROW()-1,4)))</f>
        <v>Sday_1</v>
      </c>
      <c r="C39">
        <f>INDEX(Shift_Data!$B$2:$E$17, MATCH(A39, Shift_Data!$A$2:$A$17, 0), MATCH(B39, Shift_Data!$B$1:$E$1, 0))</f>
        <v>0</v>
      </c>
      <c r="D39">
        <f t="shared" si="1"/>
        <v>7</v>
      </c>
      <c r="E39">
        <f t="shared" si="2"/>
        <v>40000</v>
      </c>
      <c r="F39" t="str">
        <f t="shared" si="3"/>
        <v>Sew</v>
      </c>
    </row>
    <row r="40" spans="1:6" x14ac:dyDescent="0.25">
      <c r="A40" t="str">
        <f>INDEX(Shift_Data!$A$2:$A$500,ROUNDUP((ROW()-1)/4,0))</f>
        <v>Sew2</v>
      </c>
      <c r="B40" t="str">
        <f>INDEX(Shift_Data!$B$1:$E$1,IF(MOD(ROW()-1,4)=0,4,MOD(ROW()-1,4)))</f>
        <v>Sday_2</v>
      </c>
      <c r="C40">
        <f>INDEX(Shift_Data!$B$2:$E$17, MATCH(A40, Shift_Data!$A$2:$A$17, 0), MATCH(B40, Shift_Data!$B$1:$E$1, 0))</f>
        <v>0</v>
      </c>
      <c r="D40">
        <f t="shared" si="1"/>
        <v>7</v>
      </c>
      <c r="E40">
        <f t="shared" si="2"/>
        <v>40000</v>
      </c>
      <c r="F40" t="str">
        <f t="shared" si="3"/>
        <v>Sew</v>
      </c>
    </row>
    <row r="41" spans="1:6" x14ac:dyDescent="0.25">
      <c r="A41" t="str">
        <f>INDEX(Shift_Data!$A$2:$A$500,ROUNDUP((ROW()-1)/4,0))</f>
        <v>Sew2</v>
      </c>
      <c r="B41" t="str">
        <f>INDEX(Shift_Data!$B$1:$E$1,IF(MOD(ROW()-1,4)=0,4,MOD(ROW()-1,4)))</f>
        <v>Night</v>
      </c>
      <c r="C41">
        <f>INDEX(Shift_Data!$B$2:$E$17, MATCH(A41, Shift_Data!$A$2:$A$17, 0), MATCH(B41, Shift_Data!$B$1:$E$1, 0))</f>
        <v>0</v>
      </c>
      <c r="D41">
        <f t="shared" si="1"/>
        <v>7</v>
      </c>
      <c r="E41">
        <f t="shared" si="2"/>
        <v>40000</v>
      </c>
      <c r="F41" t="str">
        <f t="shared" si="3"/>
        <v>Sew</v>
      </c>
    </row>
    <row r="42" spans="1:6" x14ac:dyDescent="0.25">
      <c r="A42" t="str">
        <f>INDEX(Shift_Data!$A$2:$A$500,ROUNDUP((ROW()-1)/4,0))</f>
        <v>Sew3</v>
      </c>
      <c r="B42" t="str">
        <f>INDEX(Shift_Data!$B$1:$E$1,IF(MOD(ROW()-1,4)=0,4,MOD(ROW()-1,4)))</f>
        <v>Day</v>
      </c>
      <c r="C42">
        <f>INDEX(Shift_Data!$B$2:$E$17, MATCH(A42, Shift_Data!$A$2:$A$17, 0), MATCH(B42, Shift_Data!$B$1:$E$1, 0))</f>
        <v>3</v>
      </c>
      <c r="D42">
        <f t="shared" si="1"/>
        <v>8</v>
      </c>
      <c r="E42">
        <f t="shared" si="2"/>
        <v>35000</v>
      </c>
      <c r="F42" t="str">
        <f t="shared" si="3"/>
        <v>Sew</v>
      </c>
    </row>
    <row r="43" spans="1:6" x14ac:dyDescent="0.25">
      <c r="A43" t="str">
        <f>INDEX(Shift_Data!$A$2:$A$500,ROUNDUP((ROW()-1)/4,0))</f>
        <v>Sew3</v>
      </c>
      <c r="B43" t="str">
        <f>INDEX(Shift_Data!$B$1:$E$1,IF(MOD(ROW()-1,4)=0,4,MOD(ROW()-1,4)))</f>
        <v>Sday_1</v>
      </c>
      <c r="C43">
        <f>INDEX(Shift_Data!$B$2:$E$17, MATCH(A43, Shift_Data!$A$2:$A$17, 0), MATCH(B43, Shift_Data!$B$1:$E$1, 0))</f>
        <v>0</v>
      </c>
      <c r="D43">
        <f t="shared" si="1"/>
        <v>7</v>
      </c>
      <c r="E43">
        <f t="shared" si="2"/>
        <v>40000</v>
      </c>
      <c r="F43" t="str">
        <f t="shared" si="3"/>
        <v>Sew</v>
      </c>
    </row>
    <row r="44" spans="1:6" x14ac:dyDescent="0.25">
      <c r="A44" t="str">
        <f>INDEX(Shift_Data!$A$2:$A$500,ROUNDUP((ROW()-1)/4,0))</f>
        <v>Sew3</v>
      </c>
      <c r="B44" t="str">
        <f>INDEX(Shift_Data!$B$1:$E$1,IF(MOD(ROW()-1,4)=0,4,MOD(ROW()-1,4)))</f>
        <v>Sday_2</v>
      </c>
      <c r="C44">
        <f>INDEX(Shift_Data!$B$2:$E$17, MATCH(A44, Shift_Data!$A$2:$A$17, 0), MATCH(B44, Shift_Data!$B$1:$E$1, 0))</f>
        <v>0</v>
      </c>
      <c r="D44">
        <f t="shared" si="1"/>
        <v>7</v>
      </c>
      <c r="E44">
        <f t="shared" si="2"/>
        <v>40000</v>
      </c>
      <c r="F44" t="str">
        <f t="shared" si="3"/>
        <v>Sew</v>
      </c>
    </row>
    <row r="45" spans="1:6" x14ac:dyDescent="0.25">
      <c r="A45" t="str">
        <f>INDEX(Shift_Data!$A$2:$A$500,ROUNDUP((ROW()-1)/4,0))</f>
        <v>Sew3</v>
      </c>
      <c r="B45" t="str">
        <f>INDEX(Shift_Data!$B$1:$E$1,IF(MOD(ROW()-1,4)=0,4,MOD(ROW()-1,4)))</f>
        <v>Night</v>
      </c>
      <c r="C45">
        <f>INDEX(Shift_Data!$B$2:$E$17, MATCH(A45, Shift_Data!$A$2:$A$17, 0), MATCH(B45, Shift_Data!$B$1:$E$1, 0))</f>
        <v>0</v>
      </c>
      <c r="D45">
        <f t="shared" si="1"/>
        <v>7</v>
      </c>
      <c r="E45">
        <f t="shared" si="2"/>
        <v>40000</v>
      </c>
      <c r="F45" t="str">
        <f t="shared" si="3"/>
        <v>Sew</v>
      </c>
    </row>
    <row r="46" spans="1:6" x14ac:dyDescent="0.25">
      <c r="A46" t="str">
        <f>INDEX(Shift_Data!$A$2:$A$500,ROUNDUP((ROW()-1)/4,0))</f>
        <v>Sew4</v>
      </c>
      <c r="B46" t="str">
        <f>INDEX(Shift_Data!$B$1:$E$1,IF(MOD(ROW()-1,4)=0,4,MOD(ROW()-1,4)))</f>
        <v>Day</v>
      </c>
      <c r="C46">
        <f>INDEX(Shift_Data!$B$2:$E$17, MATCH(A46, Shift_Data!$A$2:$A$17, 0), MATCH(B46, Shift_Data!$B$1:$E$1, 0))</f>
        <v>0</v>
      </c>
      <c r="D46">
        <f t="shared" si="1"/>
        <v>8</v>
      </c>
      <c r="E46">
        <f t="shared" si="2"/>
        <v>35000</v>
      </c>
      <c r="F46" t="str">
        <f t="shared" si="3"/>
        <v>Sew</v>
      </c>
    </row>
    <row r="47" spans="1:6" x14ac:dyDescent="0.25">
      <c r="A47" t="str">
        <f>INDEX(Shift_Data!$A$2:$A$500,ROUNDUP((ROW()-1)/4,0))</f>
        <v>Sew4</v>
      </c>
      <c r="B47" t="str">
        <f>INDEX(Shift_Data!$B$1:$E$1,IF(MOD(ROW()-1,4)=0,4,MOD(ROW()-1,4)))</f>
        <v>Sday_1</v>
      </c>
      <c r="C47">
        <f>INDEX(Shift_Data!$B$2:$E$17, MATCH(A47, Shift_Data!$A$2:$A$17, 0), MATCH(B47, Shift_Data!$B$1:$E$1, 0))</f>
        <v>3</v>
      </c>
      <c r="D47">
        <f t="shared" si="1"/>
        <v>7</v>
      </c>
      <c r="E47">
        <f t="shared" si="2"/>
        <v>40000</v>
      </c>
      <c r="F47" t="str">
        <f t="shared" si="3"/>
        <v>Sew</v>
      </c>
    </row>
    <row r="48" spans="1:6" x14ac:dyDescent="0.25">
      <c r="A48" t="str">
        <f>INDEX(Shift_Data!$A$2:$A$500,ROUNDUP((ROW()-1)/4,0))</f>
        <v>Sew4</v>
      </c>
      <c r="B48" t="str">
        <f>INDEX(Shift_Data!$B$1:$E$1,IF(MOD(ROW()-1,4)=0,4,MOD(ROW()-1,4)))</f>
        <v>Sday_2</v>
      </c>
      <c r="C48">
        <f>INDEX(Shift_Data!$B$2:$E$17, MATCH(A48, Shift_Data!$A$2:$A$17, 0), MATCH(B48, Shift_Data!$B$1:$E$1, 0))</f>
        <v>0</v>
      </c>
      <c r="D48">
        <f t="shared" si="1"/>
        <v>7</v>
      </c>
      <c r="E48">
        <f t="shared" si="2"/>
        <v>40000</v>
      </c>
      <c r="F48" t="str">
        <f t="shared" si="3"/>
        <v>Sew</v>
      </c>
    </row>
    <row r="49" spans="1:6" x14ac:dyDescent="0.25">
      <c r="A49" t="str">
        <f>INDEX(Shift_Data!$A$2:$A$500,ROUNDUP((ROW()-1)/4,0))</f>
        <v>Sew4</v>
      </c>
      <c r="B49" t="str">
        <f>INDEX(Shift_Data!$B$1:$E$1,IF(MOD(ROW()-1,4)=0,4,MOD(ROW()-1,4)))</f>
        <v>Night</v>
      </c>
      <c r="C49">
        <f>INDEX(Shift_Data!$B$2:$E$17, MATCH(A49, Shift_Data!$A$2:$A$17, 0), MATCH(B49, Shift_Data!$B$1:$E$1, 0))</f>
        <v>0</v>
      </c>
      <c r="D49">
        <f t="shared" si="1"/>
        <v>7</v>
      </c>
      <c r="E49">
        <f t="shared" si="2"/>
        <v>40000</v>
      </c>
      <c r="F49" t="str">
        <f t="shared" si="3"/>
        <v>Sew</v>
      </c>
    </row>
    <row r="50" spans="1:6" x14ac:dyDescent="0.25">
      <c r="A50" t="str">
        <f>INDEX(Shift_Data!$A$2:$A$500,ROUNDUP((ROW()-1)/4,0))</f>
        <v>QaC1</v>
      </c>
      <c r="B50" t="str">
        <f>INDEX(Shift_Data!$B$1:$E$1,IF(MOD(ROW()-1,4)=0,4,MOD(ROW()-1,4)))</f>
        <v>Day</v>
      </c>
      <c r="C50">
        <f>INDEX(Shift_Data!$B$2:$E$17, MATCH(A50, Shift_Data!$A$2:$A$17, 0), MATCH(B50, Shift_Data!$B$1:$E$1, 0))</f>
        <v>20</v>
      </c>
      <c r="D50">
        <f t="shared" si="1"/>
        <v>8</v>
      </c>
      <c r="E50">
        <f t="shared" si="2"/>
        <v>35000</v>
      </c>
      <c r="F50" t="str">
        <f t="shared" si="3"/>
        <v>QaC</v>
      </c>
    </row>
    <row r="51" spans="1:6" x14ac:dyDescent="0.25">
      <c r="A51" t="str">
        <f>INDEX(Shift_Data!$A$2:$A$500,ROUNDUP((ROW()-1)/4,0))</f>
        <v>QaC1</v>
      </c>
      <c r="B51" t="str">
        <f>INDEX(Shift_Data!$B$1:$E$1,IF(MOD(ROW()-1,4)=0,4,MOD(ROW()-1,4)))</f>
        <v>Sday_1</v>
      </c>
      <c r="C51">
        <f>INDEX(Shift_Data!$B$2:$E$17, MATCH(A51, Shift_Data!$A$2:$A$17, 0), MATCH(B51, Shift_Data!$B$1:$E$1, 0))</f>
        <v>0</v>
      </c>
      <c r="D51">
        <f t="shared" si="1"/>
        <v>7</v>
      </c>
      <c r="E51">
        <f t="shared" si="2"/>
        <v>40000</v>
      </c>
      <c r="F51" t="str">
        <f t="shared" si="3"/>
        <v>QaC</v>
      </c>
    </row>
    <row r="52" spans="1:6" x14ac:dyDescent="0.25">
      <c r="A52" t="str">
        <f>INDEX(Shift_Data!$A$2:$A$500,ROUNDUP((ROW()-1)/4,0))</f>
        <v>QaC1</v>
      </c>
      <c r="B52" t="str">
        <f>INDEX(Shift_Data!$B$1:$E$1,IF(MOD(ROW()-1,4)=0,4,MOD(ROW()-1,4)))</f>
        <v>Sday_2</v>
      </c>
      <c r="C52">
        <f>INDEX(Shift_Data!$B$2:$E$17, MATCH(A52, Shift_Data!$A$2:$A$17, 0), MATCH(B52, Shift_Data!$B$1:$E$1, 0))</f>
        <v>0</v>
      </c>
      <c r="D52">
        <f t="shared" si="1"/>
        <v>7</v>
      </c>
      <c r="E52">
        <f t="shared" si="2"/>
        <v>40000</v>
      </c>
      <c r="F52" t="str">
        <f t="shared" si="3"/>
        <v>QaC</v>
      </c>
    </row>
    <row r="53" spans="1:6" x14ac:dyDescent="0.25">
      <c r="A53" t="str">
        <f>INDEX(Shift_Data!$A$2:$A$500,ROUNDUP((ROW()-1)/4,0))</f>
        <v>QaC1</v>
      </c>
      <c r="B53" t="str">
        <f>INDEX(Shift_Data!$B$1:$E$1,IF(MOD(ROW()-1,4)=0,4,MOD(ROW()-1,4)))</f>
        <v>Night</v>
      </c>
      <c r="C53">
        <f>INDEX(Shift_Data!$B$2:$E$17, MATCH(A53, Shift_Data!$A$2:$A$17, 0), MATCH(B53, Shift_Data!$B$1:$E$1, 0))</f>
        <v>0</v>
      </c>
      <c r="D53">
        <f t="shared" si="1"/>
        <v>7</v>
      </c>
      <c r="E53">
        <f t="shared" si="2"/>
        <v>40000</v>
      </c>
      <c r="F53" t="str">
        <f t="shared" si="3"/>
        <v>QaC</v>
      </c>
    </row>
    <row r="54" spans="1:6" x14ac:dyDescent="0.25">
      <c r="A54" t="str">
        <f>INDEX(Shift_Data!$A$2:$A$500,ROUNDUP((ROW()-1)/4,0))</f>
        <v>QaC2</v>
      </c>
      <c r="B54" t="str">
        <f>INDEX(Shift_Data!$B$1:$E$1,IF(MOD(ROW()-1,4)=0,4,MOD(ROW()-1,4)))</f>
        <v>Day</v>
      </c>
      <c r="C54">
        <f>INDEX(Shift_Data!$B$2:$E$17, MATCH(A54, Shift_Data!$A$2:$A$17, 0), MATCH(B54, Shift_Data!$B$1:$E$1, 0))</f>
        <v>0</v>
      </c>
      <c r="D54">
        <f t="shared" si="1"/>
        <v>8</v>
      </c>
      <c r="E54">
        <f t="shared" si="2"/>
        <v>35000</v>
      </c>
      <c r="F54" t="str">
        <f t="shared" si="3"/>
        <v>QaC</v>
      </c>
    </row>
    <row r="55" spans="1:6" x14ac:dyDescent="0.25">
      <c r="A55" t="str">
        <f>INDEX(Shift_Data!$A$2:$A$500,ROUNDUP((ROW()-1)/4,0))</f>
        <v>QaC2</v>
      </c>
      <c r="B55" t="str">
        <f>INDEX(Shift_Data!$B$1:$E$1,IF(MOD(ROW()-1,4)=0,4,MOD(ROW()-1,4)))</f>
        <v>Sday_1</v>
      </c>
      <c r="C55">
        <f>INDEX(Shift_Data!$B$2:$E$17, MATCH(A55, Shift_Data!$A$2:$A$17, 0), MATCH(B55, Shift_Data!$B$1:$E$1, 0))</f>
        <v>20</v>
      </c>
      <c r="D55">
        <f t="shared" si="1"/>
        <v>7</v>
      </c>
      <c r="E55">
        <f t="shared" si="2"/>
        <v>40000</v>
      </c>
      <c r="F55" t="str">
        <f t="shared" si="3"/>
        <v>QaC</v>
      </c>
    </row>
    <row r="56" spans="1:6" x14ac:dyDescent="0.25">
      <c r="A56" t="str">
        <f>INDEX(Shift_Data!$A$2:$A$500,ROUNDUP((ROW()-1)/4,0))</f>
        <v>QaC2</v>
      </c>
      <c r="B56" t="str">
        <f>INDEX(Shift_Data!$B$1:$E$1,IF(MOD(ROW()-1,4)=0,4,MOD(ROW()-1,4)))</f>
        <v>Sday_2</v>
      </c>
      <c r="C56">
        <f>INDEX(Shift_Data!$B$2:$E$17, MATCH(A56, Shift_Data!$A$2:$A$17, 0), MATCH(B56, Shift_Data!$B$1:$E$1, 0))</f>
        <v>20</v>
      </c>
      <c r="D56">
        <f t="shared" si="1"/>
        <v>7</v>
      </c>
      <c r="E56">
        <f t="shared" si="2"/>
        <v>40000</v>
      </c>
      <c r="F56" t="str">
        <f t="shared" si="3"/>
        <v>QaC</v>
      </c>
    </row>
    <row r="57" spans="1:6" x14ac:dyDescent="0.25">
      <c r="A57" t="str">
        <f>INDEX(Shift_Data!$A$2:$A$500,ROUNDUP((ROW()-1)/4,0))</f>
        <v>QaC2</v>
      </c>
      <c r="B57" t="str">
        <f>INDEX(Shift_Data!$B$1:$E$1,IF(MOD(ROW()-1,4)=0,4,MOD(ROW()-1,4)))</f>
        <v>Night</v>
      </c>
      <c r="C57">
        <f>INDEX(Shift_Data!$B$2:$E$17, MATCH(A57, Shift_Data!$A$2:$A$17, 0), MATCH(B57, Shift_Data!$B$1:$E$1, 0))</f>
        <v>0</v>
      </c>
      <c r="D57">
        <f t="shared" si="1"/>
        <v>7</v>
      </c>
      <c r="E57">
        <f t="shared" si="2"/>
        <v>40000</v>
      </c>
      <c r="F57" t="str">
        <f t="shared" si="3"/>
        <v>QaC</v>
      </c>
    </row>
    <row r="58" spans="1:6" x14ac:dyDescent="0.25">
      <c r="A58" t="str">
        <f>INDEX(Shift_Data!$A$2:$A$500,ROUNDUP((ROW()-1)/4,0))</f>
        <v>QaC3</v>
      </c>
      <c r="B58" t="str">
        <f>INDEX(Shift_Data!$B$1:$E$1,IF(MOD(ROW()-1,4)=0,4,MOD(ROW()-1,4)))</f>
        <v>Day</v>
      </c>
      <c r="C58">
        <f>INDEX(Shift_Data!$B$2:$E$17, MATCH(A58, Shift_Data!$A$2:$A$17, 0), MATCH(B58, Shift_Data!$B$1:$E$1, 0))</f>
        <v>0</v>
      </c>
      <c r="D58">
        <f t="shared" si="1"/>
        <v>8</v>
      </c>
      <c r="E58">
        <f t="shared" si="2"/>
        <v>35000</v>
      </c>
      <c r="F58" t="str">
        <f t="shared" si="3"/>
        <v>QaC</v>
      </c>
    </row>
    <row r="59" spans="1:6" x14ac:dyDescent="0.25">
      <c r="A59" t="str">
        <f>INDEX(Shift_Data!$A$2:$A$500,ROUNDUP((ROW()-1)/4,0))</f>
        <v>QaC3</v>
      </c>
      <c r="B59" t="str">
        <f>INDEX(Shift_Data!$B$1:$E$1,IF(MOD(ROW()-1,4)=0,4,MOD(ROW()-1,4)))</f>
        <v>Sday_1</v>
      </c>
      <c r="C59">
        <f>INDEX(Shift_Data!$B$2:$E$17, MATCH(A59, Shift_Data!$A$2:$A$17, 0), MATCH(B59, Shift_Data!$B$1:$E$1, 0))</f>
        <v>20</v>
      </c>
      <c r="D59">
        <f t="shared" si="1"/>
        <v>7</v>
      </c>
      <c r="E59">
        <f t="shared" si="2"/>
        <v>40000</v>
      </c>
      <c r="F59" t="str">
        <f t="shared" si="3"/>
        <v>QaC</v>
      </c>
    </row>
    <row r="60" spans="1:6" x14ac:dyDescent="0.25">
      <c r="A60" t="str">
        <f>INDEX(Shift_Data!$A$2:$A$500,ROUNDUP((ROW()-1)/4,0))</f>
        <v>QaC3</v>
      </c>
      <c r="B60" t="str">
        <f>INDEX(Shift_Data!$B$1:$E$1,IF(MOD(ROW()-1,4)=0,4,MOD(ROW()-1,4)))</f>
        <v>Sday_2</v>
      </c>
      <c r="C60">
        <f>INDEX(Shift_Data!$B$2:$E$17, MATCH(A60, Shift_Data!$A$2:$A$17, 0), MATCH(B60, Shift_Data!$B$1:$E$1, 0))</f>
        <v>20</v>
      </c>
      <c r="D60">
        <f t="shared" si="1"/>
        <v>7</v>
      </c>
      <c r="E60">
        <f t="shared" si="2"/>
        <v>40000</v>
      </c>
      <c r="F60" t="str">
        <f t="shared" si="3"/>
        <v>QaC</v>
      </c>
    </row>
    <row r="61" spans="1:6" x14ac:dyDescent="0.25">
      <c r="A61" t="str">
        <f>INDEX(Shift_Data!$A$2:$A$500,ROUNDUP((ROW()-1)/4,0))</f>
        <v>QaC3</v>
      </c>
      <c r="B61" t="str">
        <f>INDEX(Shift_Data!$B$1:$E$1,IF(MOD(ROW()-1,4)=0,4,MOD(ROW()-1,4)))</f>
        <v>Night</v>
      </c>
      <c r="C61">
        <f>INDEX(Shift_Data!$B$2:$E$17, MATCH(A61, Shift_Data!$A$2:$A$17, 0), MATCH(B61, Shift_Data!$B$1:$E$1, 0))</f>
        <v>0</v>
      </c>
      <c r="D61">
        <f t="shared" si="1"/>
        <v>7</v>
      </c>
      <c r="E61">
        <f t="shared" si="2"/>
        <v>40000</v>
      </c>
      <c r="F61" t="str">
        <f t="shared" si="3"/>
        <v>QaC</v>
      </c>
    </row>
    <row r="62" spans="1:6" x14ac:dyDescent="0.25">
      <c r="A62" t="str">
        <f>INDEX(Shift_Data!$A$2:$A$500,ROUNDUP((ROW()-1)/4,0))</f>
        <v>Pac1</v>
      </c>
      <c r="B62" t="str">
        <f>INDEX(Shift_Data!$B$1:$E$1,IF(MOD(ROW()-1,4)=0,4,MOD(ROW()-1,4)))</f>
        <v>Day</v>
      </c>
      <c r="C62">
        <f>INDEX(Shift_Data!$B$2:$E$17, MATCH(A62, Shift_Data!$A$2:$A$17, 0), MATCH(B62, Shift_Data!$B$1:$E$1, 0))</f>
        <v>4</v>
      </c>
      <c r="D62">
        <f t="shared" si="1"/>
        <v>8</v>
      </c>
      <c r="E62">
        <f t="shared" si="2"/>
        <v>35000</v>
      </c>
      <c r="F62" t="str">
        <f t="shared" si="3"/>
        <v>Pac</v>
      </c>
    </row>
    <row r="63" spans="1:6" x14ac:dyDescent="0.25">
      <c r="A63" t="str">
        <f>INDEX(Shift_Data!$A$2:$A$500,ROUNDUP((ROW()-1)/4,0))</f>
        <v>Pac1</v>
      </c>
      <c r="B63" t="str">
        <f>INDEX(Shift_Data!$B$1:$E$1,IF(MOD(ROW()-1,4)=0,4,MOD(ROW()-1,4)))</f>
        <v>Sday_1</v>
      </c>
      <c r="C63">
        <f>INDEX(Shift_Data!$B$2:$E$17, MATCH(A63, Shift_Data!$A$2:$A$17, 0), MATCH(B63, Shift_Data!$B$1:$E$1, 0))</f>
        <v>0</v>
      </c>
      <c r="D63">
        <f t="shared" si="1"/>
        <v>7</v>
      </c>
      <c r="E63">
        <f t="shared" si="2"/>
        <v>40000</v>
      </c>
      <c r="F63" t="str">
        <f t="shared" si="3"/>
        <v>Pac</v>
      </c>
    </row>
    <row r="64" spans="1:6" x14ac:dyDescent="0.25">
      <c r="A64" t="str">
        <f>INDEX(Shift_Data!$A$2:$A$500,ROUNDUP((ROW()-1)/4,0))</f>
        <v>Pac1</v>
      </c>
      <c r="B64" t="str">
        <f>INDEX(Shift_Data!$B$1:$E$1,IF(MOD(ROW()-1,4)=0,4,MOD(ROW()-1,4)))</f>
        <v>Sday_2</v>
      </c>
      <c r="C64">
        <f>INDEX(Shift_Data!$B$2:$E$17, MATCH(A64, Shift_Data!$A$2:$A$17, 0), MATCH(B64, Shift_Data!$B$1:$E$1, 0))</f>
        <v>0</v>
      </c>
      <c r="D64">
        <f t="shared" si="1"/>
        <v>7</v>
      </c>
      <c r="E64">
        <f t="shared" si="2"/>
        <v>40000</v>
      </c>
      <c r="F64" t="str">
        <f t="shared" si="3"/>
        <v>Pac</v>
      </c>
    </row>
    <row r="65" spans="1:6" x14ac:dyDescent="0.25">
      <c r="A65" t="str">
        <f>INDEX(Shift_Data!$A$2:$A$500,ROUNDUP((ROW()-1)/4,0))</f>
        <v>Pac1</v>
      </c>
      <c r="B65" t="str">
        <f>INDEX(Shift_Data!$B$1:$E$1,IF(MOD(ROW()-1,4)=0,4,MOD(ROW()-1,4)))</f>
        <v>Night</v>
      </c>
      <c r="C65">
        <f>INDEX(Shift_Data!$B$2:$E$17, MATCH(A65, Shift_Data!$A$2:$A$17, 0), MATCH(B65, Shift_Data!$B$1:$E$1, 0))</f>
        <v>0</v>
      </c>
      <c r="D65">
        <f t="shared" si="1"/>
        <v>7</v>
      </c>
      <c r="E65">
        <f t="shared" si="2"/>
        <v>40000</v>
      </c>
      <c r="F65" t="str">
        <f t="shared" si="3"/>
        <v>Pac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C1F93-9204-47B4-880F-4D00D3B5BBEC}">
  <sheetPr codeName="Sheet2"/>
  <dimension ref="A1:AM25"/>
  <sheetViews>
    <sheetView topLeftCell="A4" zoomScaleNormal="100" workbookViewId="0">
      <selection activeCell="J25" sqref="J25:XFD25"/>
    </sheetView>
  </sheetViews>
  <sheetFormatPr defaultRowHeight="15" x14ac:dyDescent="0.25"/>
  <cols>
    <col min="1" max="1" width="11.28515625" bestFit="1" customWidth="1"/>
    <col min="2" max="2" width="10.42578125" bestFit="1" customWidth="1"/>
    <col min="3" max="3" width="3" bestFit="1" customWidth="1"/>
    <col min="4" max="9" width="10.7109375" hidden="1" customWidth="1"/>
    <col min="10" max="33" width="10.85546875" bestFit="1" customWidth="1"/>
    <col min="34" max="39" width="10.7109375" bestFit="1" customWidth="1"/>
  </cols>
  <sheetData>
    <row r="1" spans="1:39" x14ac:dyDescent="0.25">
      <c r="A1" s="2" t="s">
        <v>22</v>
      </c>
      <c r="B1" s="3">
        <v>46266</v>
      </c>
      <c r="C1" s="3"/>
    </row>
    <row r="3" spans="1:39" x14ac:dyDescent="0.25">
      <c r="J3" s="4">
        <v>46266</v>
      </c>
      <c r="K3" s="4">
        <v>46267</v>
      </c>
      <c r="L3" s="4">
        <v>46268</v>
      </c>
      <c r="M3" s="4">
        <v>46269</v>
      </c>
      <c r="N3" s="4">
        <v>46270</v>
      </c>
      <c r="O3" s="4">
        <v>46271</v>
      </c>
      <c r="P3" s="4">
        <v>46272</v>
      </c>
      <c r="Q3" s="4">
        <v>46273</v>
      </c>
      <c r="R3" s="4">
        <v>46274</v>
      </c>
      <c r="S3" s="4">
        <v>46275</v>
      </c>
      <c r="T3" s="4">
        <v>46276</v>
      </c>
      <c r="U3" s="4">
        <v>46277</v>
      </c>
      <c r="V3" s="4">
        <v>46278</v>
      </c>
      <c r="W3" s="4">
        <v>46279</v>
      </c>
      <c r="X3" s="4">
        <v>46280</v>
      </c>
      <c r="Y3" s="4">
        <v>46281</v>
      </c>
      <c r="Z3" s="4">
        <v>46282</v>
      </c>
      <c r="AA3" s="4">
        <v>46283</v>
      </c>
      <c r="AB3" s="4">
        <v>46284</v>
      </c>
      <c r="AC3" s="4">
        <v>46285</v>
      </c>
      <c r="AD3" s="4">
        <v>46286</v>
      </c>
      <c r="AE3" s="4">
        <v>46287</v>
      </c>
      <c r="AF3" s="4">
        <v>46288</v>
      </c>
      <c r="AG3" s="4">
        <v>46289</v>
      </c>
      <c r="AH3" s="4">
        <v>46290</v>
      </c>
      <c r="AI3" s="4">
        <v>46291</v>
      </c>
      <c r="AJ3" s="4">
        <v>46292</v>
      </c>
      <c r="AK3" s="4">
        <v>46293</v>
      </c>
      <c r="AL3" s="4">
        <v>46294</v>
      </c>
      <c r="AM3" s="4">
        <v>46295</v>
      </c>
    </row>
    <row r="4" spans="1:39" x14ac:dyDescent="0.25">
      <c r="J4" t="str">
        <f>TEXT(J3,"ddd")</f>
        <v>T3</v>
      </c>
      <c r="K4" t="str">
        <f t="shared" ref="K4:AM4" si="0">TEXT(K3,"ddd")</f>
        <v>T4</v>
      </c>
      <c r="L4" t="str">
        <f t="shared" si="0"/>
        <v>T5</v>
      </c>
      <c r="M4" t="str">
        <f t="shared" si="0"/>
        <v>T6</v>
      </c>
      <c r="N4" t="str">
        <f t="shared" si="0"/>
        <v>T7</v>
      </c>
      <c r="O4" t="str">
        <f t="shared" si="0"/>
        <v>CN</v>
      </c>
      <c r="P4" t="str">
        <f t="shared" si="0"/>
        <v>T2</v>
      </c>
      <c r="Q4" t="str">
        <f t="shared" si="0"/>
        <v>T3</v>
      </c>
      <c r="R4" t="str">
        <f t="shared" si="0"/>
        <v>T4</v>
      </c>
      <c r="S4" t="str">
        <f t="shared" si="0"/>
        <v>T5</v>
      </c>
      <c r="T4" t="str">
        <f t="shared" si="0"/>
        <v>T6</v>
      </c>
      <c r="U4" t="str">
        <f t="shared" si="0"/>
        <v>T7</v>
      </c>
      <c r="V4" t="str">
        <f t="shared" si="0"/>
        <v>CN</v>
      </c>
      <c r="W4" t="str">
        <f t="shared" si="0"/>
        <v>T2</v>
      </c>
      <c r="X4" t="str">
        <f t="shared" si="0"/>
        <v>T3</v>
      </c>
      <c r="Y4" t="str">
        <f t="shared" si="0"/>
        <v>T4</v>
      </c>
      <c r="Z4" t="str">
        <f t="shared" si="0"/>
        <v>T5</v>
      </c>
      <c r="AA4" t="str">
        <f t="shared" si="0"/>
        <v>T6</v>
      </c>
      <c r="AB4" t="str">
        <f t="shared" si="0"/>
        <v>T7</v>
      </c>
      <c r="AC4" t="str">
        <f t="shared" si="0"/>
        <v>CN</v>
      </c>
      <c r="AD4" t="str">
        <f t="shared" si="0"/>
        <v>T2</v>
      </c>
      <c r="AE4" t="str">
        <f t="shared" si="0"/>
        <v>T3</v>
      </c>
      <c r="AF4" t="str">
        <f t="shared" si="0"/>
        <v>T4</v>
      </c>
      <c r="AG4" t="str">
        <f t="shared" si="0"/>
        <v>T5</v>
      </c>
      <c r="AH4" t="str">
        <f t="shared" si="0"/>
        <v>T6</v>
      </c>
      <c r="AI4" t="str">
        <f t="shared" si="0"/>
        <v>T7</v>
      </c>
      <c r="AJ4" t="str">
        <f t="shared" si="0"/>
        <v>CN</v>
      </c>
      <c r="AK4" t="str">
        <f t="shared" si="0"/>
        <v>T2</v>
      </c>
      <c r="AL4" t="str">
        <f t="shared" si="0"/>
        <v>T3</v>
      </c>
      <c r="AM4" t="str">
        <f t="shared" si="0"/>
        <v>T4</v>
      </c>
    </row>
    <row r="5" spans="1:39" x14ac:dyDescent="0.25">
      <c r="A5" t="s">
        <v>3</v>
      </c>
      <c r="B5" t="s">
        <v>17</v>
      </c>
      <c r="C5">
        <v>5</v>
      </c>
      <c r="N5">
        <f>$C5*IF($B5="Day",8,7)</f>
        <v>40</v>
      </c>
      <c r="O5">
        <f>$C5*IF($B5="Day",8,7)</f>
        <v>40</v>
      </c>
      <c r="AB5">
        <f>$C5*IF($B5="Day",8,7)</f>
        <v>40</v>
      </c>
      <c r="AC5">
        <f>$C5*IF($B5="Day",8,7)</f>
        <v>40</v>
      </c>
      <c r="AI5">
        <f>$C5*IF($B5="Day",8,7)</f>
        <v>40</v>
      </c>
      <c r="AJ5">
        <f>$C5*IF($B5="Day",8,7)</f>
        <v>40</v>
      </c>
    </row>
    <row r="6" spans="1:39" x14ac:dyDescent="0.25">
      <c r="A6" t="s">
        <v>4</v>
      </c>
      <c r="B6" t="s">
        <v>17</v>
      </c>
      <c r="C6">
        <v>5</v>
      </c>
      <c r="N6">
        <f t="shared" ref="N6:O24" si="1">$C6*IF($B6="Day",8,7)</f>
        <v>40</v>
      </c>
      <c r="O6">
        <f t="shared" si="1"/>
        <v>40</v>
      </c>
      <c r="AB6">
        <f t="shared" ref="AB6:AC24" si="2">$C6*IF($B6="Day",8,7)</f>
        <v>40</v>
      </c>
      <c r="AC6">
        <f t="shared" si="2"/>
        <v>40</v>
      </c>
      <c r="AI6">
        <f t="shared" ref="AI6:AJ24" si="3">$C6*IF($B6="Day",8,7)</f>
        <v>40</v>
      </c>
      <c r="AJ6">
        <f t="shared" si="3"/>
        <v>40</v>
      </c>
    </row>
    <row r="7" spans="1:39" x14ac:dyDescent="0.25">
      <c r="A7" t="s">
        <v>6</v>
      </c>
      <c r="B7" t="s">
        <v>17</v>
      </c>
      <c r="C7">
        <v>30</v>
      </c>
      <c r="N7">
        <f t="shared" si="1"/>
        <v>240</v>
      </c>
      <c r="O7">
        <f t="shared" si="1"/>
        <v>240</v>
      </c>
      <c r="AB7">
        <f t="shared" si="2"/>
        <v>240</v>
      </c>
      <c r="AC7">
        <f t="shared" si="2"/>
        <v>240</v>
      </c>
      <c r="AI7">
        <f t="shared" si="3"/>
        <v>240</v>
      </c>
      <c r="AJ7">
        <f t="shared" si="3"/>
        <v>240</v>
      </c>
    </row>
    <row r="8" spans="1:39" x14ac:dyDescent="0.25">
      <c r="A8" t="s">
        <v>7</v>
      </c>
      <c r="B8" t="s">
        <v>18</v>
      </c>
      <c r="C8">
        <v>20</v>
      </c>
      <c r="N8">
        <f t="shared" si="1"/>
        <v>140</v>
      </c>
      <c r="O8">
        <f t="shared" si="1"/>
        <v>140</v>
      </c>
      <c r="AB8">
        <f t="shared" si="2"/>
        <v>140</v>
      </c>
      <c r="AC8">
        <f t="shared" si="2"/>
        <v>140</v>
      </c>
      <c r="AI8">
        <f t="shared" si="3"/>
        <v>140</v>
      </c>
      <c r="AJ8">
        <f t="shared" si="3"/>
        <v>140</v>
      </c>
    </row>
    <row r="9" spans="1:39" x14ac:dyDescent="0.25">
      <c r="B9" t="s">
        <v>19</v>
      </c>
      <c r="C9">
        <v>20</v>
      </c>
      <c r="N9">
        <f t="shared" si="1"/>
        <v>140</v>
      </c>
      <c r="O9">
        <f t="shared" si="1"/>
        <v>140</v>
      </c>
      <c r="AB9">
        <f t="shared" si="2"/>
        <v>140</v>
      </c>
      <c r="AC9">
        <f t="shared" si="2"/>
        <v>140</v>
      </c>
      <c r="AI9">
        <f t="shared" si="3"/>
        <v>140</v>
      </c>
      <c r="AJ9">
        <f t="shared" si="3"/>
        <v>140</v>
      </c>
    </row>
    <row r="10" spans="1:39" x14ac:dyDescent="0.25">
      <c r="A10" t="s">
        <v>8</v>
      </c>
      <c r="B10" t="s">
        <v>18</v>
      </c>
      <c r="C10">
        <v>20</v>
      </c>
      <c r="N10">
        <f t="shared" si="1"/>
        <v>140</v>
      </c>
      <c r="O10">
        <f t="shared" si="1"/>
        <v>140</v>
      </c>
      <c r="AB10">
        <f t="shared" si="2"/>
        <v>140</v>
      </c>
      <c r="AC10">
        <f t="shared" si="2"/>
        <v>140</v>
      </c>
      <c r="AI10">
        <f t="shared" si="3"/>
        <v>140</v>
      </c>
      <c r="AJ10">
        <f t="shared" si="3"/>
        <v>140</v>
      </c>
    </row>
    <row r="11" spans="1:39" x14ac:dyDescent="0.25">
      <c r="B11" t="s">
        <v>19</v>
      </c>
      <c r="C11">
        <v>20</v>
      </c>
      <c r="N11">
        <f t="shared" si="1"/>
        <v>140</v>
      </c>
      <c r="O11">
        <f t="shared" si="1"/>
        <v>140</v>
      </c>
      <c r="AB11">
        <f t="shared" si="2"/>
        <v>140</v>
      </c>
      <c r="AC11">
        <f t="shared" si="2"/>
        <v>140</v>
      </c>
      <c r="AI11">
        <f t="shared" si="3"/>
        <v>140</v>
      </c>
      <c r="AJ11">
        <f t="shared" si="3"/>
        <v>140</v>
      </c>
    </row>
    <row r="12" spans="1:39" x14ac:dyDescent="0.25">
      <c r="A12" t="s">
        <v>16</v>
      </c>
      <c r="B12" t="s">
        <v>17</v>
      </c>
      <c r="C12">
        <v>4</v>
      </c>
      <c r="N12">
        <f t="shared" si="1"/>
        <v>32</v>
      </c>
      <c r="O12">
        <f t="shared" si="1"/>
        <v>32</v>
      </c>
      <c r="AB12">
        <f t="shared" si="2"/>
        <v>32</v>
      </c>
      <c r="AC12">
        <f t="shared" si="2"/>
        <v>32</v>
      </c>
      <c r="AI12">
        <f t="shared" si="3"/>
        <v>32</v>
      </c>
      <c r="AJ12">
        <f t="shared" si="3"/>
        <v>32</v>
      </c>
    </row>
    <row r="13" spans="1:39" x14ac:dyDescent="0.25">
      <c r="A13" t="s">
        <v>1</v>
      </c>
      <c r="B13" t="s">
        <v>17</v>
      </c>
      <c r="C13">
        <v>5</v>
      </c>
      <c r="N13">
        <f t="shared" si="1"/>
        <v>40</v>
      </c>
      <c r="O13">
        <f t="shared" si="1"/>
        <v>40</v>
      </c>
      <c r="AB13">
        <f t="shared" si="2"/>
        <v>40</v>
      </c>
      <c r="AC13">
        <f t="shared" si="2"/>
        <v>40</v>
      </c>
      <c r="AI13">
        <f t="shared" si="3"/>
        <v>40</v>
      </c>
      <c r="AJ13">
        <f t="shared" si="3"/>
        <v>40</v>
      </c>
    </row>
    <row r="14" spans="1:39" x14ac:dyDescent="0.25">
      <c r="A14" t="s">
        <v>2</v>
      </c>
      <c r="B14" t="s">
        <v>17</v>
      </c>
      <c r="C14">
        <v>5</v>
      </c>
      <c r="N14">
        <f t="shared" si="1"/>
        <v>40</v>
      </c>
      <c r="O14">
        <f t="shared" si="1"/>
        <v>40</v>
      </c>
      <c r="AB14">
        <f t="shared" si="2"/>
        <v>40</v>
      </c>
      <c r="AC14">
        <f t="shared" si="2"/>
        <v>40</v>
      </c>
      <c r="AI14">
        <f t="shared" si="3"/>
        <v>40</v>
      </c>
      <c r="AJ14">
        <f t="shared" si="3"/>
        <v>40</v>
      </c>
    </row>
    <row r="15" spans="1:39" x14ac:dyDescent="0.25">
      <c r="A15" t="s">
        <v>13</v>
      </c>
      <c r="B15" t="s">
        <v>17</v>
      </c>
      <c r="C15">
        <v>20</v>
      </c>
      <c r="N15">
        <f t="shared" si="1"/>
        <v>160</v>
      </c>
      <c r="O15">
        <f t="shared" si="1"/>
        <v>160</v>
      </c>
      <c r="AB15">
        <f t="shared" si="2"/>
        <v>160</v>
      </c>
      <c r="AC15">
        <f t="shared" si="2"/>
        <v>160</v>
      </c>
      <c r="AI15">
        <f t="shared" si="3"/>
        <v>160</v>
      </c>
      <c r="AJ15">
        <f t="shared" si="3"/>
        <v>160</v>
      </c>
    </row>
    <row r="16" spans="1:39" x14ac:dyDescent="0.25">
      <c r="A16" t="s">
        <v>14</v>
      </c>
      <c r="B16" t="s">
        <v>18</v>
      </c>
      <c r="C16">
        <v>20</v>
      </c>
      <c r="N16">
        <f t="shared" si="1"/>
        <v>140</v>
      </c>
      <c r="O16">
        <f t="shared" si="1"/>
        <v>140</v>
      </c>
      <c r="AB16">
        <f t="shared" si="2"/>
        <v>140</v>
      </c>
      <c r="AC16">
        <f t="shared" si="2"/>
        <v>140</v>
      </c>
      <c r="AI16">
        <f t="shared" si="3"/>
        <v>140</v>
      </c>
      <c r="AJ16">
        <f t="shared" si="3"/>
        <v>140</v>
      </c>
    </row>
    <row r="17" spans="1:36" x14ac:dyDescent="0.25">
      <c r="B17" t="s">
        <v>19</v>
      </c>
      <c r="C17">
        <v>20</v>
      </c>
      <c r="N17">
        <f t="shared" si="1"/>
        <v>140</v>
      </c>
      <c r="O17">
        <f t="shared" si="1"/>
        <v>140</v>
      </c>
      <c r="AB17">
        <f t="shared" si="2"/>
        <v>140</v>
      </c>
      <c r="AC17">
        <f t="shared" si="2"/>
        <v>140</v>
      </c>
      <c r="AI17">
        <f t="shared" si="3"/>
        <v>140</v>
      </c>
      <c r="AJ17">
        <f t="shared" si="3"/>
        <v>140</v>
      </c>
    </row>
    <row r="18" spans="1:36" x14ac:dyDescent="0.25">
      <c r="A18" t="s">
        <v>15</v>
      </c>
      <c r="B18" t="s">
        <v>18</v>
      </c>
      <c r="C18">
        <v>20</v>
      </c>
      <c r="N18">
        <f t="shared" si="1"/>
        <v>140</v>
      </c>
      <c r="O18">
        <f t="shared" si="1"/>
        <v>140</v>
      </c>
      <c r="AB18">
        <f t="shared" si="2"/>
        <v>140</v>
      </c>
      <c r="AC18">
        <f t="shared" si="2"/>
        <v>140</v>
      </c>
      <c r="AI18">
        <f t="shared" si="3"/>
        <v>140</v>
      </c>
      <c r="AJ18">
        <f t="shared" si="3"/>
        <v>140</v>
      </c>
    </row>
    <row r="19" spans="1:36" x14ac:dyDescent="0.25">
      <c r="B19" t="s">
        <v>19</v>
      </c>
      <c r="C19">
        <v>20</v>
      </c>
      <c r="N19">
        <f t="shared" si="1"/>
        <v>140</v>
      </c>
      <c r="O19">
        <f t="shared" si="1"/>
        <v>140</v>
      </c>
      <c r="AB19">
        <f t="shared" si="2"/>
        <v>140</v>
      </c>
      <c r="AC19">
        <f t="shared" si="2"/>
        <v>140</v>
      </c>
      <c r="AI19">
        <f t="shared" si="3"/>
        <v>140</v>
      </c>
      <c r="AJ19">
        <f t="shared" si="3"/>
        <v>140</v>
      </c>
    </row>
    <row r="20" spans="1:36" x14ac:dyDescent="0.25">
      <c r="A20" t="s">
        <v>9</v>
      </c>
      <c r="B20" t="s">
        <v>17</v>
      </c>
      <c r="C20">
        <v>8</v>
      </c>
      <c r="N20">
        <f t="shared" si="1"/>
        <v>64</v>
      </c>
      <c r="O20">
        <f t="shared" si="1"/>
        <v>64</v>
      </c>
      <c r="AB20">
        <f t="shared" si="2"/>
        <v>64</v>
      </c>
      <c r="AC20">
        <f t="shared" si="2"/>
        <v>64</v>
      </c>
      <c r="AI20">
        <f t="shared" si="3"/>
        <v>64</v>
      </c>
      <c r="AJ20">
        <f t="shared" si="3"/>
        <v>64</v>
      </c>
    </row>
    <row r="21" spans="1:36" x14ac:dyDescent="0.25">
      <c r="A21" t="s">
        <v>10</v>
      </c>
      <c r="B21" t="s">
        <v>17</v>
      </c>
      <c r="C21">
        <v>8</v>
      </c>
      <c r="N21">
        <f t="shared" si="1"/>
        <v>64</v>
      </c>
      <c r="O21">
        <f t="shared" si="1"/>
        <v>64</v>
      </c>
      <c r="AB21">
        <f t="shared" si="2"/>
        <v>64</v>
      </c>
      <c r="AC21">
        <f t="shared" si="2"/>
        <v>64</v>
      </c>
      <c r="AI21">
        <f t="shared" si="3"/>
        <v>64</v>
      </c>
      <c r="AJ21">
        <f t="shared" si="3"/>
        <v>64</v>
      </c>
    </row>
    <row r="22" spans="1:36" x14ac:dyDescent="0.25">
      <c r="A22" t="s">
        <v>11</v>
      </c>
      <c r="B22" t="s">
        <v>17</v>
      </c>
      <c r="C22">
        <v>8</v>
      </c>
      <c r="N22">
        <f t="shared" si="1"/>
        <v>64</v>
      </c>
      <c r="O22">
        <f t="shared" si="1"/>
        <v>64</v>
      </c>
      <c r="AB22">
        <f t="shared" si="2"/>
        <v>64</v>
      </c>
      <c r="AC22">
        <f t="shared" si="2"/>
        <v>64</v>
      </c>
      <c r="AI22">
        <f t="shared" si="3"/>
        <v>64</v>
      </c>
      <c r="AJ22">
        <f t="shared" si="3"/>
        <v>64</v>
      </c>
    </row>
    <row r="23" spans="1:36" x14ac:dyDescent="0.25">
      <c r="A23" t="s">
        <v>12</v>
      </c>
      <c r="B23" t="s">
        <v>18</v>
      </c>
      <c r="C23">
        <v>4</v>
      </c>
      <c r="N23">
        <f t="shared" si="1"/>
        <v>28</v>
      </c>
      <c r="O23">
        <f t="shared" si="1"/>
        <v>28</v>
      </c>
      <c r="AB23">
        <f t="shared" si="2"/>
        <v>28</v>
      </c>
      <c r="AC23">
        <f t="shared" si="2"/>
        <v>28</v>
      </c>
      <c r="AI23">
        <f t="shared" si="3"/>
        <v>28</v>
      </c>
      <c r="AJ23">
        <f t="shared" si="3"/>
        <v>28</v>
      </c>
    </row>
    <row r="24" spans="1:36" x14ac:dyDescent="0.25">
      <c r="B24" t="s">
        <v>19</v>
      </c>
      <c r="C24">
        <v>4</v>
      </c>
      <c r="N24">
        <f t="shared" si="1"/>
        <v>28</v>
      </c>
      <c r="O24">
        <f t="shared" si="1"/>
        <v>28</v>
      </c>
      <c r="AB24">
        <f t="shared" si="2"/>
        <v>28</v>
      </c>
      <c r="AC24">
        <f t="shared" si="2"/>
        <v>28</v>
      </c>
      <c r="AI24">
        <f t="shared" si="3"/>
        <v>28</v>
      </c>
      <c r="AJ24">
        <f t="shared" si="3"/>
        <v>28</v>
      </c>
    </row>
    <row r="25" spans="1:36" x14ac:dyDescent="0.25">
      <c r="A25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658EB-3384-4E01-A81B-EC941E7619D9}">
  <sheetPr codeName="Sheet3"/>
  <dimension ref="A1:AM15"/>
  <sheetViews>
    <sheetView zoomScaleNormal="100" workbookViewId="0">
      <selection activeCell="J15" sqref="J15:XFD15"/>
    </sheetView>
  </sheetViews>
  <sheetFormatPr defaultRowHeight="15" x14ac:dyDescent="0.25"/>
  <cols>
    <col min="1" max="1" width="11.28515625" bestFit="1" customWidth="1"/>
    <col min="2" max="2" width="10.42578125" bestFit="1" customWidth="1"/>
    <col min="3" max="3" width="3" bestFit="1" customWidth="1"/>
    <col min="4" max="9" width="10.7109375" hidden="1" customWidth="1"/>
    <col min="10" max="33" width="10.85546875" bestFit="1" customWidth="1"/>
    <col min="34" max="39" width="10.7109375" bestFit="1" customWidth="1"/>
  </cols>
  <sheetData>
    <row r="1" spans="1:39" x14ac:dyDescent="0.25">
      <c r="A1" s="2" t="s">
        <v>22</v>
      </c>
      <c r="B1" s="3">
        <v>46266</v>
      </c>
      <c r="C1" s="3"/>
    </row>
    <row r="3" spans="1:39" x14ac:dyDescent="0.25">
      <c r="J3" s="4">
        <v>46266</v>
      </c>
      <c r="K3" s="4">
        <v>46267</v>
      </c>
      <c r="L3" s="4">
        <v>46268</v>
      </c>
      <c r="M3" s="4">
        <v>46269</v>
      </c>
      <c r="N3" s="4">
        <v>46270</v>
      </c>
      <c r="O3" s="4">
        <v>46271</v>
      </c>
      <c r="P3" s="4">
        <v>46272</v>
      </c>
      <c r="Q3" s="4">
        <v>46273</v>
      </c>
      <c r="R3" s="4">
        <v>46274</v>
      </c>
      <c r="S3" s="4">
        <v>46275</v>
      </c>
      <c r="T3" s="4">
        <v>46276</v>
      </c>
      <c r="U3" s="4">
        <v>46277</v>
      </c>
      <c r="V3" s="4">
        <v>46278</v>
      </c>
      <c r="W3" s="4">
        <v>46279</v>
      </c>
      <c r="X3" s="4">
        <v>46280</v>
      </c>
      <c r="Y3" s="4">
        <v>46281</v>
      </c>
      <c r="Z3" s="4">
        <v>46282</v>
      </c>
      <c r="AA3" s="4">
        <v>46283</v>
      </c>
      <c r="AB3" s="4">
        <v>46284</v>
      </c>
      <c r="AC3" s="4">
        <v>46285</v>
      </c>
      <c r="AD3" s="4">
        <v>46286</v>
      </c>
      <c r="AE3" s="4">
        <v>46287</v>
      </c>
      <c r="AF3" s="4">
        <v>46288</v>
      </c>
      <c r="AG3" s="4">
        <v>46289</v>
      </c>
      <c r="AH3" s="4">
        <v>46290</v>
      </c>
      <c r="AI3" s="4">
        <v>46291</v>
      </c>
      <c r="AJ3" s="4">
        <v>46292</v>
      </c>
      <c r="AK3" s="4">
        <v>46293</v>
      </c>
      <c r="AL3" s="4">
        <v>46294</v>
      </c>
      <c r="AM3" s="4">
        <v>46295</v>
      </c>
    </row>
    <row r="4" spans="1:39" x14ac:dyDescent="0.25">
      <c r="J4" t="str">
        <f>TEXT(J3,"ddd")</f>
        <v>T3</v>
      </c>
      <c r="K4" t="str">
        <f t="shared" ref="K4:AM4" si="0">TEXT(K3,"ddd")</f>
        <v>T4</v>
      </c>
      <c r="L4" t="str">
        <f t="shared" si="0"/>
        <v>T5</v>
      </c>
      <c r="M4" t="str">
        <f t="shared" si="0"/>
        <v>T6</v>
      </c>
      <c r="N4" t="str">
        <f t="shared" si="0"/>
        <v>T7</v>
      </c>
      <c r="O4" t="str">
        <f t="shared" si="0"/>
        <v>CN</v>
      </c>
      <c r="P4" t="str">
        <f t="shared" si="0"/>
        <v>T2</v>
      </c>
      <c r="Q4" t="str">
        <f t="shared" si="0"/>
        <v>T3</v>
      </c>
      <c r="R4" t="str">
        <f t="shared" si="0"/>
        <v>T4</v>
      </c>
      <c r="S4" t="str">
        <f t="shared" si="0"/>
        <v>T5</v>
      </c>
      <c r="T4" t="str">
        <f t="shared" si="0"/>
        <v>T6</v>
      </c>
      <c r="U4" t="str">
        <f t="shared" si="0"/>
        <v>T7</v>
      </c>
      <c r="V4" t="str">
        <f t="shared" si="0"/>
        <v>CN</v>
      </c>
      <c r="W4" t="str">
        <f t="shared" si="0"/>
        <v>T2</v>
      </c>
      <c r="X4" t="str">
        <f t="shared" si="0"/>
        <v>T3</v>
      </c>
      <c r="Y4" t="str">
        <f t="shared" si="0"/>
        <v>T4</v>
      </c>
      <c r="Z4" t="str">
        <f t="shared" si="0"/>
        <v>T5</v>
      </c>
      <c r="AA4" t="str">
        <f t="shared" si="0"/>
        <v>T6</v>
      </c>
      <c r="AB4" t="str">
        <f t="shared" si="0"/>
        <v>T7</v>
      </c>
      <c r="AC4" t="str">
        <f t="shared" si="0"/>
        <v>CN</v>
      </c>
      <c r="AD4" t="str">
        <f t="shared" si="0"/>
        <v>T2</v>
      </c>
      <c r="AE4" t="str">
        <f t="shared" si="0"/>
        <v>T3</v>
      </c>
      <c r="AF4" t="str">
        <f t="shared" si="0"/>
        <v>T4</v>
      </c>
      <c r="AG4" t="str">
        <f t="shared" si="0"/>
        <v>T5</v>
      </c>
      <c r="AH4" t="str">
        <f t="shared" si="0"/>
        <v>T6</v>
      </c>
      <c r="AI4" t="str">
        <f t="shared" si="0"/>
        <v>T7</v>
      </c>
      <c r="AJ4" t="str">
        <f t="shared" si="0"/>
        <v>CN</v>
      </c>
      <c r="AK4" t="str">
        <f t="shared" si="0"/>
        <v>T2</v>
      </c>
      <c r="AL4" t="str">
        <f t="shared" si="0"/>
        <v>T3</v>
      </c>
      <c r="AM4" t="str">
        <f t="shared" si="0"/>
        <v>T4</v>
      </c>
    </row>
    <row r="5" spans="1:39" x14ac:dyDescent="0.25">
      <c r="A5" t="s">
        <v>3</v>
      </c>
      <c r="B5" t="s">
        <v>17</v>
      </c>
      <c r="C5">
        <v>5</v>
      </c>
      <c r="N5">
        <f>$C5*4</f>
        <v>20</v>
      </c>
      <c r="O5">
        <f>$C5*4</f>
        <v>20</v>
      </c>
      <c r="U5">
        <f>$C5*4</f>
        <v>20</v>
      </c>
      <c r="V5">
        <f>$C5*4</f>
        <v>20</v>
      </c>
      <c r="AB5">
        <f>$C5*4</f>
        <v>20</v>
      </c>
      <c r="AC5">
        <f>$C5*4</f>
        <v>20</v>
      </c>
      <c r="AI5">
        <f>$C5*4</f>
        <v>20</v>
      </c>
      <c r="AJ5">
        <f>$C5*4</f>
        <v>20</v>
      </c>
    </row>
    <row r="6" spans="1:39" x14ac:dyDescent="0.25">
      <c r="A6" t="s">
        <v>4</v>
      </c>
      <c r="B6" t="s">
        <v>17</v>
      </c>
      <c r="C6">
        <v>5</v>
      </c>
      <c r="N6">
        <f t="shared" ref="N6:O14" si="1">$C6*4</f>
        <v>20</v>
      </c>
      <c r="O6">
        <f t="shared" si="1"/>
        <v>20</v>
      </c>
      <c r="U6">
        <f t="shared" ref="U6:V14" si="2">$C6*4</f>
        <v>20</v>
      </c>
      <c r="V6">
        <f t="shared" si="2"/>
        <v>20</v>
      </c>
      <c r="AB6">
        <f t="shared" ref="AB6:AC14" si="3">$C6*4</f>
        <v>20</v>
      </c>
      <c r="AC6">
        <f t="shared" si="3"/>
        <v>20</v>
      </c>
      <c r="AI6">
        <f t="shared" ref="AI6:AJ14" si="4">$C6*4</f>
        <v>20</v>
      </c>
      <c r="AJ6">
        <f t="shared" si="4"/>
        <v>20</v>
      </c>
    </row>
    <row r="7" spans="1:39" x14ac:dyDescent="0.25">
      <c r="A7" t="s">
        <v>6</v>
      </c>
      <c r="B7" t="s">
        <v>17</v>
      </c>
      <c r="C7">
        <v>30</v>
      </c>
      <c r="N7">
        <f t="shared" si="1"/>
        <v>120</v>
      </c>
      <c r="O7">
        <f t="shared" si="1"/>
        <v>120</v>
      </c>
      <c r="U7">
        <f t="shared" si="2"/>
        <v>120</v>
      </c>
      <c r="V7">
        <f t="shared" si="2"/>
        <v>120</v>
      </c>
      <c r="AB7">
        <f t="shared" si="3"/>
        <v>120</v>
      </c>
      <c r="AC7">
        <f t="shared" si="3"/>
        <v>120</v>
      </c>
      <c r="AI7">
        <f t="shared" si="4"/>
        <v>120</v>
      </c>
      <c r="AJ7">
        <f t="shared" si="4"/>
        <v>120</v>
      </c>
    </row>
    <row r="8" spans="1:39" x14ac:dyDescent="0.25">
      <c r="A8" t="s">
        <v>16</v>
      </c>
      <c r="B8" t="s">
        <v>17</v>
      </c>
      <c r="C8">
        <v>4</v>
      </c>
      <c r="N8">
        <f t="shared" si="1"/>
        <v>16</v>
      </c>
      <c r="O8">
        <f t="shared" si="1"/>
        <v>16</v>
      </c>
      <c r="U8">
        <f t="shared" si="2"/>
        <v>16</v>
      </c>
      <c r="V8">
        <f t="shared" si="2"/>
        <v>16</v>
      </c>
      <c r="AB8">
        <f t="shared" si="3"/>
        <v>16</v>
      </c>
      <c r="AC8">
        <f t="shared" si="3"/>
        <v>16</v>
      </c>
      <c r="AI8">
        <f t="shared" si="4"/>
        <v>16</v>
      </c>
      <c r="AJ8">
        <f t="shared" si="4"/>
        <v>16</v>
      </c>
    </row>
    <row r="9" spans="1:39" x14ac:dyDescent="0.25">
      <c r="A9" t="s">
        <v>1</v>
      </c>
      <c r="B9" t="s">
        <v>17</v>
      </c>
      <c r="C9">
        <v>5</v>
      </c>
      <c r="N9">
        <f t="shared" si="1"/>
        <v>20</v>
      </c>
      <c r="O9">
        <f t="shared" si="1"/>
        <v>20</v>
      </c>
      <c r="U9">
        <f t="shared" si="2"/>
        <v>20</v>
      </c>
      <c r="V9">
        <f t="shared" si="2"/>
        <v>20</v>
      </c>
      <c r="AB9">
        <f t="shared" si="3"/>
        <v>20</v>
      </c>
      <c r="AC9">
        <f t="shared" si="3"/>
        <v>20</v>
      </c>
      <c r="AI9">
        <f t="shared" si="4"/>
        <v>20</v>
      </c>
      <c r="AJ9">
        <f t="shared" si="4"/>
        <v>20</v>
      </c>
    </row>
    <row r="10" spans="1:39" x14ac:dyDescent="0.25">
      <c r="A10" t="s">
        <v>2</v>
      </c>
      <c r="B10" t="s">
        <v>17</v>
      </c>
      <c r="C10">
        <v>5</v>
      </c>
      <c r="N10">
        <f t="shared" si="1"/>
        <v>20</v>
      </c>
      <c r="O10">
        <f t="shared" si="1"/>
        <v>20</v>
      </c>
      <c r="U10">
        <f t="shared" si="2"/>
        <v>20</v>
      </c>
      <c r="V10">
        <f t="shared" si="2"/>
        <v>20</v>
      </c>
      <c r="AB10">
        <f t="shared" si="3"/>
        <v>20</v>
      </c>
      <c r="AC10">
        <f t="shared" si="3"/>
        <v>20</v>
      </c>
      <c r="AI10">
        <f t="shared" si="4"/>
        <v>20</v>
      </c>
      <c r="AJ10">
        <f t="shared" si="4"/>
        <v>20</v>
      </c>
    </row>
    <row r="11" spans="1:39" x14ac:dyDescent="0.25">
      <c r="A11" t="s">
        <v>13</v>
      </c>
      <c r="B11" t="s">
        <v>17</v>
      </c>
      <c r="C11">
        <v>20</v>
      </c>
      <c r="N11">
        <f t="shared" si="1"/>
        <v>80</v>
      </c>
      <c r="O11">
        <f t="shared" si="1"/>
        <v>80</v>
      </c>
      <c r="U11">
        <f t="shared" si="2"/>
        <v>80</v>
      </c>
      <c r="V11">
        <f t="shared" si="2"/>
        <v>80</v>
      </c>
      <c r="AB11">
        <f t="shared" si="3"/>
        <v>80</v>
      </c>
      <c r="AC11">
        <f t="shared" si="3"/>
        <v>80</v>
      </c>
      <c r="AI11">
        <f t="shared" si="4"/>
        <v>80</v>
      </c>
      <c r="AJ11">
        <f t="shared" si="4"/>
        <v>80</v>
      </c>
    </row>
    <row r="12" spans="1:39" x14ac:dyDescent="0.25">
      <c r="A12" t="s">
        <v>9</v>
      </c>
      <c r="B12" t="s">
        <v>17</v>
      </c>
      <c r="C12">
        <v>8</v>
      </c>
      <c r="N12">
        <f>$C12*4</f>
        <v>32</v>
      </c>
      <c r="O12">
        <f>$C12*4</f>
        <v>32</v>
      </c>
      <c r="U12">
        <f>$C12*4</f>
        <v>32</v>
      </c>
      <c r="V12">
        <f>$C12*4</f>
        <v>32</v>
      </c>
      <c r="AB12">
        <f>$C12*4</f>
        <v>32</v>
      </c>
      <c r="AC12">
        <f>$C12*4</f>
        <v>32</v>
      </c>
      <c r="AI12">
        <f>$C12*4</f>
        <v>32</v>
      </c>
      <c r="AJ12">
        <f>$C12*4</f>
        <v>32</v>
      </c>
    </row>
    <row r="13" spans="1:39" x14ac:dyDescent="0.25">
      <c r="A13" t="s">
        <v>10</v>
      </c>
      <c r="B13" t="s">
        <v>17</v>
      </c>
      <c r="C13">
        <v>8</v>
      </c>
      <c r="N13">
        <f t="shared" si="1"/>
        <v>32</v>
      </c>
      <c r="O13">
        <f t="shared" si="1"/>
        <v>32</v>
      </c>
      <c r="U13">
        <f t="shared" si="2"/>
        <v>32</v>
      </c>
      <c r="V13">
        <f t="shared" si="2"/>
        <v>32</v>
      </c>
      <c r="AB13">
        <f t="shared" si="3"/>
        <v>32</v>
      </c>
      <c r="AC13">
        <f t="shared" si="3"/>
        <v>32</v>
      </c>
      <c r="AI13">
        <f t="shared" si="4"/>
        <v>32</v>
      </c>
      <c r="AJ13">
        <f t="shared" si="4"/>
        <v>32</v>
      </c>
    </row>
    <row r="14" spans="1:39" x14ac:dyDescent="0.25">
      <c r="A14" t="s">
        <v>11</v>
      </c>
      <c r="B14" t="s">
        <v>17</v>
      </c>
      <c r="C14">
        <v>8</v>
      </c>
      <c r="N14">
        <f t="shared" si="1"/>
        <v>32</v>
      </c>
      <c r="O14">
        <f t="shared" si="1"/>
        <v>32</v>
      </c>
      <c r="U14">
        <f t="shared" si="2"/>
        <v>32</v>
      </c>
      <c r="V14">
        <f t="shared" si="2"/>
        <v>32</v>
      </c>
      <c r="AB14">
        <f t="shared" si="3"/>
        <v>32</v>
      </c>
      <c r="AC14">
        <f t="shared" si="3"/>
        <v>32</v>
      </c>
      <c r="AI14">
        <f t="shared" si="4"/>
        <v>32</v>
      </c>
      <c r="AJ14">
        <f t="shared" si="4"/>
        <v>32</v>
      </c>
    </row>
    <row r="15" spans="1:39" x14ac:dyDescent="0.25">
      <c r="A15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5D45-4F20-457B-ABBF-07D15750B41E}">
  <sheetPr codeName="Sheet4"/>
  <dimension ref="A1:AM25"/>
  <sheetViews>
    <sheetView topLeftCell="W1" workbookViewId="0">
      <selection activeCell="AB18" sqref="AB18"/>
    </sheetView>
  </sheetViews>
  <sheetFormatPr defaultRowHeight="15" x14ac:dyDescent="0.25"/>
  <cols>
    <col min="1" max="1" width="11.28515625" bestFit="1" customWidth="1"/>
    <col min="2" max="2" width="7.28515625" bestFit="1" customWidth="1"/>
    <col min="3" max="3" width="3" bestFit="1" customWidth="1"/>
    <col min="4" max="9" width="10.7109375" hidden="1" customWidth="1"/>
    <col min="10" max="33" width="10.85546875" bestFit="1" customWidth="1"/>
    <col min="34" max="39" width="10.7109375" bestFit="1" customWidth="1"/>
  </cols>
  <sheetData>
    <row r="1" spans="1:39" x14ac:dyDescent="0.25">
      <c r="A1" s="2" t="s">
        <v>22</v>
      </c>
      <c r="B1" s="3">
        <v>46266</v>
      </c>
      <c r="C1" s="3"/>
    </row>
    <row r="3" spans="1:39" x14ac:dyDescent="0.25">
      <c r="J3" s="4">
        <v>46266</v>
      </c>
      <c r="K3" s="4">
        <v>46267</v>
      </c>
      <c r="L3" s="4">
        <v>46268</v>
      </c>
      <c r="M3" s="4">
        <v>46269</v>
      </c>
      <c r="N3" s="4">
        <v>46270</v>
      </c>
      <c r="O3" s="4">
        <v>46271</v>
      </c>
      <c r="P3" s="4">
        <v>46272</v>
      </c>
      <c r="Q3" s="4">
        <v>46273</v>
      </c>
      <c r="R3" s="4">
        <v>46274</v>
      </c>
      <c r="S3" s="4">
        <v>46275</v>
      </c>
      <c r="T3" s="4">
        <v>46276</v>
      </c>
      <c r="U3" s="4">
        <v>46277</v>
      </c>
      <c r="V3" s="4">
        <v>46278</v>
      </c>
      <c r="W3" s="4">
        <v>46279</v>
      </c>
      <c r="X3" s="4">
        <v>46280</v>
      </c>
      <c r="Y3" s="4">
        <v>46281</v>
      </c>
      <c r="Z3" s="4">
        <v>46282</v>
      </c>
      <c r="AA3" s="4">
        <v>46283</v>
      </c>
      <c r="AB3" s="4">
        <v>46284</v>
      </c>
      <c r="AC3" s="4">
        <v>46285</v>
      </c>
      <c r="AD3" s="4">
        <v>46286</v>
      </c>
      <c r="AE3" s="4">
        <v>46287</v>
      </c>
      <c r="AF3" s="4">
        <v>46288</v>
      </c>
      <c r="AG3" s="4">
        <v>46289</v>
      </c>
      <c r="AH3" s="4">
        <v>46290</v>
      </c>
      <c r="AI3" s="4">
        <v>46291</v>
      </c>
      <c r="AJ3" s="4">
        <v>46292</v>
      </c>
      <c r="AK3" s="4">
        <v>46293</v>
      </c>
      <c r="AL3" s="4">
        <v>46294</v>
      </c>
      <c r="AM3" s="4">
        <v>46295</v>
      </c>
    </row>
    <row r="4" spans="1:39" x14ac:dyDescent="0.25">
      <c r="J4" t="str">
        <f>TEXT(J3,"ddd")</f>
        <v>T3</v>
      </c>
      <c r="K4" t="str">
        <f t="shared" ref="K4:AM4" si="0">TEXT(K3,"ddd")</f>
        <v>T4</v>
      </c>
      <c r="L4" t="str">
        <f t="shared" si="0"/>
        <v>T5</v>
      </c>
      <c r="M4" t="str">
        <f t="shared" si="0"/>
        <v>T6</v>
      </c>
      <c r="N4" t="str">
        <f t="shared" si="0"/>
        <v>T7</v>
      </c>
      <c r="O4" t="str">
        <f t="shared" si="0"/>
        <v>CN</v>
      </c>
      <c r="P4" t="str">
        <f t="shared" si="0"/>
        <v>T2</v>
      </c>
      <c r="Q4" t="str">
        <f t="shared" si="0"/>
        <v>T3</v>
      </c>
      <c r="R4" t="str">
        <f t="shared" si="0"/>
        <v>T4</v>
      </c>
      <c r="S4" t="str">
        <f t="shared" si="0"/>
        <v>T5</v>
      </c>
      <c r="T4" t="str">
        <f t="shared" si="0"/>
        <v>T6</v>
      </c>
      <c r="U4" t="str">
        <f t="shared" si="0"/>
        <v>T7</v>
      </c>
      <c r="V4" t="str">
        <f t="shared" si="0"/>
        <v>CN</v>
      </c>
      <c r="W4" t="str">
        <f t="shared" si="0"/>
        <v>T2</v>
      </c>
      <c r="X4" t="str">
        <f t="shared" si="0"/>
        <v>T3</v>
      </c>
      <c r="Y4" t="str">
        <f t="shared" si="0"/>
        <v>T4</v>
      </c>
      <c r="Z4" t="str">
        <f t="shared" si="0"/>
        <v>T5</v>
      </c>
      <c r="AA4" t="str">
        <f t="shared" si="0"/>
        <v>T6</v>
      </c>
      <c r="AB4" t="str">
        <f t="shared" si="0"/>
        <v>T7</v>
      </c>
      <c r="AC4" t="str">
        <f t="shared" si="0"/>
        <v>CN</v>
      </c>
      <c r="AD4" t="str">
        <f t="shared" si="0"/>
        <v>T2</v>
      </c>
      <c r="AE4" t="str">
        <f t="shared" si="0"/>
        <v>T3</v>
      </c>
      <c r="AF4" t="str">
        <f t="shared" si="0"/>
        <v>T4</v>
      </c>
      <c r="AG4" t="str">
        <f t="shared" si="0"/>
        <v>T5</v>
      </c>
      <c r="AH4" t="str">
        <f t="shared" si="0"/>
        <v>T6</v>
      </c>
      <c r="AI4" t="str">
        <f t="shared" si="0"/>
        <v>T7</v>
      </c>
      <c r="AJ4" t="str">
        <f t="shared" si="0"/>
        <v>CN</v>
      </c>
      <c r="AK4" t="str">
        <f t="shared" si="0"/>
        <v>T2</v>
      </c>
      <c r="AL4" t="str">
        <f t="shared" si="0"/>
        <v>T3</v>
      </c>
      <c r="AM4" t="str">
        <f t="shared" si="0"/>
        <v>T4</v>
      </c>
    </row>
    <row r="5" spans="1:39" x14ac:dyDescent="0.25">
      <c r="A5" t="s">
        <v>3</v>
      </c>
      <c r="B5" t="s">
        <v>17</v>
      </c>
      <c r="C5">
        <v>5</v>
      </c>
      <c r="J5">
        <f>IF($B5="Day",8,7)-Work_Off!J5/Work_Total!$C5</f>
        <v>8</v>
      </c>
      <c r="K5">
        <f>IF($B5="Day",8,7)-Work_Off!K5/Work_Total!$C5</f>
        <v>8</v>
      </c>
      <c r="L5">
        <f>IF($B5="Day",8,7)-Work_Off!L5/Work_Total!$C5</f>
        <v>8</v>
      </c>
      <c r="M5">
        <f>IF($B5="Day",8,7)-Work_Off!M5/Work_Total!$C5</f>
        <v>8</v>
      </c>
      <c r="N5">
        <f>IF($B5="Day",8,7)-Work_Off!N5/Work_Total!$C5</f>
        <v>0</v>
      </c>
      <c r="O5">
        <f>IF($B5="Day",8,7)-Work_Off!O5/Work_Total!$C5</f>
        <v>0</v>
      </c>
      <c r="P5">
        <f>IF($B5="Day",8,7)-Work_Off!P5/Work_Total!$C5</f>
        <v>8</v>
      </c>
      <c r="Q5">
        <f>IF($B5="Day",8,7)-Work_Off!Q5/Work_Total!$C5</f>
        <v>8</v>
      </c>
      <c r="R5">
        <f>IF($B5="Day",8,7)-Work_Off!R5/Work_Total!$C5</f>
        <v>8</v>
      </c>
      <c r="S5">
        <f>IF($B5="Day",8,7)-Work_Off!S5/Work_Total!$C5</f>
        <v>8</v>
      </c>
      <c r="T5">
        <f>IF($B5="Day",8,7)-Work_Off!T5/Work_Total!$C5</f>
        <v>8</v>
      </c>
      <c r="U5">
        <f>IF($B5="Day",8,7)-Work_Off!U5/Work_Total!$C5</f>
        <v>8</v>
      </c>
      <c r="V5">
        <f>IF($B5="Day",8,7)-Work_Off!V5/Work_Total!$C5</f>
        <v>8</v>
      </c>
      <c r="W5">
        <f>IF($B5="Day",8,7)-Work_Off!W5/Work_Total!$C5</f>
        <v>8</v>
      </c>
      <c r="X5">
        <f>IF($B5="Day",8,7)-Work_Off!X5/Work_Total!$C5</f>
        <v>8</v>
      </c>
      <c r="Y5">
        <f>IF($B5="Day",8,7)-Work_Off!Y5/Work_Total!$C5</f>
        <v>8</v>
      </c>
      <c r="Z5">
        <f>IF($B5="Day",8,7)-Work_Off!Z5/Work_Total!$C5</f>
        <v>8</v>
      </c>
      <c r="AA5">
        <f>IF($B5="Day",8,7)-Work_Off!AA5/Work_Total!$C5</f>
        <v>8</v>
      </c>
      <c r="AB5">
        <f>IF($B5="Day",8,7)-Work_Off!AB5/Work_Total!$C5</f>
        <v>0</v>
      </c>
      <c r="AC5">
        <f>IF($B5="Day",8,7)-Work_Off!AC5/Work_Total!$C5</f>
        <v>0</v>
      </c>
      <c r="AD5">
        <f>IF($B5="Day",8,7)-Work_Off!AD5/Work_Total!$C5</f>
        <v>8</v>
      </c>
      <c r="AE5">
        <f>IF($B5="Day",8,7)-Work_Off!AE5/Work_Total!$C5</f>
        <v>8</v>
      </c>
      <c r="AF5">
        <f>IF($B5="Day",8,7)-Work_Off!AF5/Work_Total!$C5</f>
        <v>8</v>
      </c>
      <c r="AG5">
        <f>IF($B5="Day",8,7)-Work_Off!AG5/Work_Total!$C5</f>
        <v>8</v>
      </c>
      <c r="AH5">
        <f>IF($B5="Day",8,7)-Work_Off!AH5/Work_Total!$C5</f>
        <v>8</v>
      </c>
      <c r="AI5">
        <f>IF($B5="Day",8,7)-Work_Off!AI5/Work_Total!$C5</f>
        <v>0</v>
      </c>
      <c r="AJ5">
        <f>IF($B5="Day",8,7)-Work_Off!AJ5/Work_Total!$C5</f>
        <v>0</v>
      </c>
      <c r="AK5">
        <f>IF($B5="Day",8,7)-Work_Off!AK5/Work_Total!$C5</f>
        <v>8</v>
      </c>
      <c r="AL5">
        <f>IF($B5="Day",8,7)-Work_Off!AL5/Work_Total!$C5</f>
        <v>8</v>
      </c>
      <c r="AM5">
        <f>IF($B5="Day",8,7)-Work_Off!AM5/Work_Total!$C5</f>
        <v>8</v>
      </c>
    </row>
    <row r="6" spans="1:39" x14ac:dyDescent="0.25">
      <c r="A6" t="s">
        <v>4</v>
      </c>
      <c r="B6" t="s">
        <v>17</v>
      </c>
      <c r="C6">
        <v>5</v>
      </c>
      <c r="J6">
        <f>IF($B6="Day",8,7)-Work_Off!J6/Work_Total!$C6</f>
        <v>8</v>
      </c>
      <c r="K6">
        <f>IF($B6="Day",8,7)-Work_Off!K6/Work_Total!$C6</f>
        <v>8</v>
      </c>
      <c r="L6">
        <f>IF($B6="Day",8,7)-Work_Off!L6/Work_Total!$C6</f>
        <v>8</v>
      </c>
      <c r="M6">
        <f>IF($B6="Day",8,7)-Work_Off!M6/Work_Total!$C6</f>
        <v>8</v>
      </c>
      <c r="N6">
        <f>IF($B6="Day",8,7)-Work_Off!N6/Work_Total!$C6</f>
        <v>0</v>
      </c>
      <c r="O6">
        <f>IF($B6="Day",8,7)-Work_Off!O6/Work_Total!$C6</f>
        <v>0</v>
      </c>
      <c r="P6">
        <f>IF($B6="Day",8,7)-Work_Off!P6/Work_Total!$C6</f>
        <v>8</v>
      </c>
      <c r="Q6">
        <f>IF($B6="Day",8,7)-Work_Off!Q6/Work_Total!$C6</f>
        <v>8</v>
      </c>
      <c r="R6">
        <f>IF($B6="Day",8,7)-Work_Off!R6/Work_Total!$C6</f>
        <v>8</v>
      </c>
      <c r="S6">
        <f>IF($B6="Day",8,7)-Work_Off!S6/Work_Total!$C6</f>
        <v>8</v>
      </c>
      <c r="T6">
        <f>IF($B6="Day",8,7)-Work_Off!T6/Work_Total!$C6</f>
        <v>8</v>
      </c>
      <c r="U6">
        <f>IF($B6="Day",8,7)-Work_Off!U6/Work_Total!$C6</f>
        <v>8</v>
      </c>
      <c r="V6">
        <f>IF($B6="Day",8,7)-Work_Off!V6/Work_Total!$C6</f>
        <v>8</v>
      </c>
      <c r="W6">
        <f>IF($B6="Day",8,7)-Work_Off!W6/Work_Total!$C6</f>
        <v>8</v>
      </c>
      <c r="X6">
        <f>IF($B6="Day",8,7)-Work_Off!X6/Work_Total!$C6</f>
        <v>8</v>
      </c>
      <c r="Y6">
        <f>IF($B6="Day",8,7)-Work_Off!Y6/Work_Total!$C6</f>
        <v>8</v>
      </c>
      <c r="Z6">
        <f>IF($B6="Day",8,7)-Work_Off!Z6/Work_Total!$C6</f>
        <v>8</v>
      </c>
      <c r="AA6">
        <f>IF($B6="Day",8,7)-Work_Off!AA6/Work_Total!$C6</f>
        <v>8</v>
      </c>
      <c r="AB6">
        <f>IF($B6="Day",8,7)-Work_Off!AB6/Work_Total!$C6</f>
        <v>0</v>
      </c>
      <c r="AC6">
        <f>IF($B6="Day",8,7)-Work_Off!AC6/Work_Total!$C6</f>
        <v>0</v>
      </c>
      <c r="AD6">
        <f>IF($B6="Day",8,7)-Work_Off!AD6/Work_Total!$C6</f>
        <v>8</v>
      </c>
      <c r="AE6">
        <f>IF($B6="Day",8,7)-Work_Off!AE6/Work_Total!$C6</f>
        <v>8</v>
      </c>
      <c r="AF6">
        <f>IF($B6="Day",8,7)-Work_Off!AF6/Work_Total!$C6</f>
        <v>8</v>
      </c>
      <c r="AG6">
        <f>IF($B6="Day",8,7)-Work_Off!AG6/Work_Total!$C6</f>
        <v>8</v>
      </c>
      <c r="AH6">
        <f>IF($B6="Day",8,7)-Work_Off!AH6/Work_Total!$C6</f>
        <v>8</v>
      </c>
      <c r="AI6">
        <f>IF($B6="Day",8,7)-Work_Off!AI6/Work_Total!$C6</f>
        <v>0</v>
      </c>
      <c r="AJ6">
        <f>IF($B6="Day",8,7)-Work_Off!AJ6/Work_Total!$C6</f>
        <v>0</v>
      </c>
      <c r="AK6">
        <f>IF($B6="Day",8,7)-Work_Off!AK6/Work_Total!$C6</f>
        <v>8</v>
      </c>
      <c r="AL6">
        <f>IF($B6="Day",8,7)-Work_Off!AL6/Work_Total!$C6</f>
        <v>8</v>
      </c>
      <c r="AM6">
        <f>IF($B6="Day",8,7)-Work_Off!AM6/Work_Total!$C6</f>
        <v>8</v>
      </c>
    </row>
    <row r="7" spans="1:39" x14ac:dyDescent="0.25">
      <c r="A7" t="s">
        <v>6</v>
      </c>
      <c r="B7" t="s">
        <v>17</v>
      </c>
      <c r="C7">
        <v>30</v>
      </c>
      <c r="J7">
        <f>IF($B7="Day",8,7)-Work_Off!J7/Work_Total!$C7</f>
        <v>8</v>
      </c>
      <c r="K7">
        <f>IF($B7="Day",8,7)-Work_Off!K7/Work_Total!$C7</f>
        <v>8</v>
      </c>
      <c r="L7">
        <f>IF($B7="Day",8,7)-Work_Off!L7/Work_Total!$C7</f>
        <v>8</v>
      </c>
      <c r="M7">
        <f>IF($B7="Day",8,7)-Work_Off!M7/Work_Total!$C7</f>
        <v>8</v>
      </c>
      <c r="N7">
        <f>IF($B7="Day",8,7)-Work_Off!N7/Work_Total!$C7</f>
        <v>0</v>
      </c>
      <c r="O7">
        <f>IF($B7="Day",8,7)-Work_Off!O7/Work_Total!$C7</f>
        <v>0</v>
      </c>
      <c r="P7">
        <f>IF($B7="Day",8,7)-Work_Off!P7/Work_Total!$C7</f>
        <v>8</v>
      </c>
      <c r="Q7">
        <f>IF($B7="Day",8,7)-Work_Off!Q7/Work_Total!$C7</f>
        <v>8</v>
      </c>
      <c r="R7">
        <f>IF($B7="Day",8,7)-Work_Off!R7/Work_Total!$C7</f>
        <v>8</v>
      </c>
      <c r="S7">
        <f>IF($B7="Day",8,7)-Work_Off!S7/Work_Total!$C7</f>
        <v>8</v>
      </c>
      <c r="T7">
        <f>IF($B7="Day",8,7)-Work_Off!T7/Work_Total!$C7</f>
        <v>8</v>
      </c>
      <c r="U7">
        <f>IF($B7="Day",8,7)-Work_Off!U7/Work_Total!$C7</f>
        <v>8</v>
      </c>
      <c r="V7">
        <f>IF($B7="Day",8,7)-Work_Off!V7/Work_Total!$C7</f>
        <v>8</v>
      </c>
      <c r="W7">
        <f>IF($B7="Day",8,7)-Work_Off!W7/Work_Total!$C7</f>
        <v>8</v>
      </c>
      <c r="X7">
        <f>IF($B7="Day",8,7)-Work_Off!X7/Work_Total!$C7</f>
        <v>8</v>
      </c>
      <c r="Y7">
        <f>IF($B7="Day",8,7)-Work_Off!Y7/Work_Total!$C7</f>
        <v>8</v>
      </c>
      <c r="Z7">
        <f>IF($B7="Day",8,7)-Work_Off!Z7/Work_Total!$C7</f>
        <v>8</v>
      </c>
      <c r="AA7">
        <f>IF($B7="Day",8,7)-Work_Off!AA7/Work_Total!$C7</f>
        <v>8</v>
      </c>
      <c r="AB7">
        <f>IF($B7="Day",8,7)-Work_Off!AB7/Work_Total!$C7</f>
        <v>0</v>
      </c>
      <c r="AC7">
        <f>IF($B7="Day",8,7)-Work_Off!AC7/Work_Total!$C7</f>
        <v>0</v>
      </c>
      <c r="AD7">
        <f>IF($B7="Day",8,7)-Work_Off!AD7/Work_Total!$C7</f>
        <v>8</v>
      </c>
      <c r="AE7">
        <f>IF($B7="Day",8,7)-Work_Off!AE7/Work_Total!$C7</f>
        <v>8</v>
      </c>
      <c r="AF7">
        <f>IF($B7="Day",8,7)-Work_Off!AF7/Work_Total!$C7</f>
        <v>8</v>
      </c>
      <c r="AG7">
        <f>IF($B7="Day",8,7)-Work_Off!AG7/Work_Total!$C7</f>
        <v>8</v>
      </c>
      <c r="AH7">
        <f>IF($B7="Day",8,7)-Work_Off!AH7/Work_Total!$C7</f>
        <v>8</v>
      </c>
      <c r="AI7">
        <f>IF($B7="Day",8,7)-Work_Off!AI7/Work_Total!$C7</f>
        <v>0</v>
      </c>
      <c r="AJ7">
        <f>IF($B7="Day",8,7)-Work_Off!AJ7/Work_Total!$C7</f>
        <v>0</v>
      </c>
      <c r="AK7">
        <f>IF($B7="Day",8,7)-Work_Off!AK7/Work_Total!$C7</f>
        <v>8</v>
      </c>
      <c r="AL7">
        <f>IF($B7="Day",8,7)-Work_Off!AL7/Work_Total!$C7</f>
        <v>8</v>
      </c>
      <c r="AM7">
        <f>IF($B7="Day",8,7)-Work_Off!AM7/Work_Total!$C7</f>
        <v>8</v>
      </c>
    </row>
    <row r="8" spans="1:39" x14ac:dyDescent="0.25">
      <c r="A8" t="s">
        <v>7</v>
      </c>
      <c r="B8" t="s">
        <v>18</v>
      </c>
      <c r="C8">
        <v>20</v>
      </c>
      <c r="J8">
        <f>IF($B8="Day",8,7)-Work_Off!J8/Work_Total!$C8</f>
        <v>7</v>
      </c>
      <c r="K8">
        <f>IF($B8="Day",8,7)-Work_Off!K8/Work_Total!$C8</f>
        <v>7</v>
      </c>
      <c r="L8">
        <f>IF($B8="Day",8,7)-Work_Off!L8/Work_Total!$C8</f>
        <v>7</v>
      </c>
      <c r="M8">
        <f>IF($B8="Day",8,7)-Work_Off!M8/Work_Total!$C8</f>
        <v>7</v>
      </c>
      <c r="N8">
        <f>IF($B8="Day",8,7)-Work_Off!N8/Work_Total!$C8</f>
        <v>0</v>
      </c>
      <c r="O8">
        <f>IF($B8="Day",8,7)-Work_Off!O8/Work_Total!$C8</f>
        <v>0</v>
      </c>
      <c r="P8">
        <f>IF($B8="Day",8,7)-Work_Off!P8/Work_Total!$C8</f>
        <v>7</v>
      </c>
      <c r="Q8">
        <f>IF($B8="Day",8,7)-Work_Off!Q8/Work_Total!$C8</f>
        <v>7</v>
      </c>
      <c r="R8">
        <f>IF($B8="Day",8,7)-Work_Off!R8/Work_Total!$C8</f>
        <v>7</v>
      </c>
      <c r="S8">
        <f>IF($B8="Day",8,7)-Work_Off!S8/Work_Total!$C8</f>
        <v>7</v>
      </c>
      <c r="T8">
        <f>IF($B8="Day",8,7)-Work_Off!T8/Work_Total!$C8</f>
        <v>7</v>
      </c>
      <c r="U8">
        <f>IF($B8="Day",8,7)-Work_Off!U8/Work_Total!$C8</f>
        <v>7</v>
      </c>
      <c r="V8">
        <f>IF($B8="Day",8,7)-Work_Off!V8/Work_Total!$C8</f>
        <v>7</v>
      </c>
      <c r="W8">
        <f>IF($B8="Day",8,7)-Work_Off!W8/Work_Total!$C8</f>
        <v>7</v>
      </c>
      <c r="X8">
        <f>IF($B8="Day",8,7)-Work_Off!X8/Work_Total!$C8</f>
        <v>7</v>
      </c>
      <c r="Y8">
        <f>IF($B8="Day",8,7)-Work_Off!Y8/Work_Total!$C8</f>
        <v>7</v>
      </c>
      <c r="Z8">
        <f>IF($B8="Day",8,7)-Work_Off!Z8/Work_Total!$C8</f>
        <v>7</v>
      </c>
      <c r="AA8">
        <f>IF($B8="Day",8,7)-Work_Off!AA8/Work_Total!$C8</f>
        <v>7</v>
      </c>
      <c r="AB8">
        <f>IF($B8="Day",8,7)-Work_Off!AB8/Work_Total!$C8</f>
        <v>0</v>
      </c>
      <c r="AC8">
        <f>IF($B8="Day",8,7)-Work_Off!AC8/Work_Total!$C8</f>
        <v>0</v>
      </c>
      <c r="AD8">
        <f>IF($B8="Day",8,7)-Work_Off!AD8/Work_Total!$C8</f>
        <v>7</v>
      </c>
      <c r="AE8">
        <f>IF($B8="Day",8,7)-Work_Off!AE8/Work_Total!$C8</f>
        <v>7</v>
      </c>
      <c r="AF8">
        <f>IF($B8="Day",8,7)-Work_Off!AF8/Work_Total!$C8</f>
        <v>7</v>
      </c>
      <c r="AG8">
        <f>IF($B8="Day",8,7)-Work_Off!AG8/Work_Total!$C8</f>
        <v>7</v>
      </c>
      <c r="AH8">
        <f>IF($B8="Day",8,7)-Work_Off!AH8/Work_Total!$C8</f>
        <v>7</v>
      </c>
      <c r="AI8">
        <f>IF($B8="Day",8,7)-Work_Off!AI8/Work_Total!$C8</f>
        <v>0</v>
      </c>
      <c r="AJ8">
        <f>IF($B8="Day",8,7)-Work_Off!AJ8/Work_Total!$C8</f>
        <v>0</v>
      </c>
      <c r="AK8">
        <f>IF($B8="Day",8,7)-Work_Off!AK8/Work_Total!$C8</f>
        <v>7</v>
      </c>
      <c r="AL8">
        <f>IF($B8="Day",8,7)-Work_Off!AL8/Work_Total!$C8</f>
        <v>7</v>
      </c>
      <c r="AM8">
        <f>IF($B8="Day",8,7)-Work_Off!AM8/Work_Total!$C8</f>
        <v>7</v>
      </c>
    </row>
    <row r="9" spans="1:39" x14ac:dyDescent="0.25">
      <c r="B9" t="s">
        <v>19</v>
      </c>
      <c r="C9">
        <v>20</v>
      </c>
      <c r="J9">
        <f>IF($B9="Day",8,7)-Work_Off!J9/Work_Total!$C9</f>
        <v>7</v>
      </c>
      <c r="K9">
        <f>IF($B9="Day",8,7)-Work_Off!K9/Work_Total!$C9</f>
        <v>7</v>
      </c>
      <c r="L9">
        <f>IF($B9="Day",8,7)-Work_Off!L9/Work_Total!$C9</f>
        <v>7</v>
      </c>
      <c r="M9">
        <f>IF($B9="Day",8,7)-Work_Off!M9/Work_Total!$C9</f>
        <v>7</v>
      </c>
      <c r="N9">
        <f>IF($B9="Day",8,7)-Work_Off!N9/Work_Total!$C9</f>
        <v>0</v>
      </c>
      <c r="O9">
        <f>IF($B9="Day",8,7)-Work_Off!O9/Work_Total!$C9</f>
        <v>0</v>
      </c>
      <c r="P9">
        <f>IF($B9="Day",8,7)-Work_Off!P9/Work_Total!$C9</f>
        <v>7</v>
      </c>
      <c r="Q9">
        <f>IF($B9="Day",8,7)-Work_Off!Q9/Work_Total!$C9</f>
        <v>7</v>
      </c>
      <c r="R9">
        <f>IF($B9="Day",8,7)-Work_Off!R9/Work_Total!$C9</f>
        <v>7</v>
      </c>
      <c r="S9">
        <f>IF($B9="Day",8,7)-Work_Off!S9/Work_Total!$C9</f>
        <v>7</v>
      </c>
      <c r="T9">
        <f>IF($B9="Day",8,7)-Work_Off!T9/Work_Total!$C9</f>
        <v>7</v>
      </c>
      <c r="U9">
        <f>IF($B9="Day",8,7)-Work_Off!U9/Work_Total!$C9</f>
        <v>7</v>
      </c>
      <c r="V9">
        <f>IF($B9="Day",8,7)-Work_Off!V9/Work_Total!$C9</f>
        <v>7</v>
      </c>
      <c r="W9">
        <f>IF($B9="Day",8,7)-Work_Off!W9/Work_Total!$C9</f>
        <v>7</v>
      </c>
      <c r="X9">
        <f>IF($B9="Day",8,7)-Work_Off!X9/Work_Total!$C9</f>
        <v>7</v>
      </c>
      <c r="Y9">
        <f>IF($B9="Day",8,7)-Work_Off!Y9/Work_Total!$C9</f>
        <v>7</v>
      </c>
      <c r="Z9">
        <f>IF($B9="Day",8,7)-Work_Off!Z9/Work_Total!$C9</f>
        <v>7</v>
      </c>
      <c r="AA9">
        <f>IF($B9="Day",8,7)-Work_Off!AA9/Work_Total!$C9</f>
        <v>7</v>
      </c>
      <c r="AB9">
        <f>IF($B9="Day",8,7)-Work_Off!AB9/Work_Total!$C9</f>
        <v>0</v>
      </c>
      <c r="AC9">
        <f>IF($B9="Day",8,7)-Work_Off!AC9/Work_Total!$C9</f>
        <v>0</v>
      </c>
      <c r="AD9">
        <f>IF($B9="Day",8,7)-Work_Off!AD9/Work_Total!$C9</f>
        <v>7</v>
      </c>
      <c r="AE9">
        <f>IF($B9="Day",8,7)-Work_Off!AE9/Work_Total!$C9</f>
        <v>7</v>
      </c>
      <c r="AF9">
        <f>IF($B9="Day",8,7)-Work_Off!AF9/Work_Total!$C9</f>
        <v>7</v>
      </c>
      <c r="AG9">
        <f>IF($B9="Day",8,7)-Work_Off!AG9/Work_Total!$C9</f>
        <v>7</v>
      </c>
      <c r="AH9">
        <f>IF($B9="Day",8,7)-Work_Off!AH9/Work_Total!$C9</f>
        <v>7</v>
      </c>
      <c r="AI9">
        <f>IF($B9="Day",8,7)-Work_Off!AI9/Work_Total!$C9</f>
        <v>0</v>
      </c>
      <c r="AJ9">
        <f>IF($B9="Day",8,7)-Work_Off!AJ9/Work_Total!$C9</f>
        <v>0</v>
      </c>
      <c r="AK9">
        <f>IF($B9="Day",8,7)-Work_Off!AK9/Work_Total!$C9</f>
        <v>7</v>
      </c>
      <c r="AL9">
        <f>IF($B9="Day",8,7)-Work_Off!AL9/Work_Total!$C9</f>
        <v>7</v>
      </c>
      <c r="AM9">
        <f>IF($B9="Day",8,7)-Work_Off!AM9/Work_Total!$C9</f>
        <v>7</v>
      </c>
    </row>
    <row r="10" spans="1:39" x14ac:dyDescent="0.25">
      <c r="A10" t="s">
        <v>8</v>
      </c>
      <c r="B10" t="s">
        <v>18</v>
      </c>
      <c r="C10">
        <v>20</v>
      </c>
      <c r="J10">
        <f>IF($B10="Day",8,7)-Work_Off!J10/Work_Total!$C10</f>
        <v>7</v>
      </c>
      <c r="K10">
        <f>IF($B10="Day",8,7)-Work_Off!K10/Work_Total!$C10</f>
        <v>7</v>
      </c>
      <c r="L10">
        <f>IF($B10="Day",8,7)-Work_Off!L10/Work_Total!$C10</f>
        <v>7</v>
      </c>
      <c r="M10">
        <f>IF($B10="Day",8,7)-Work_Off!M10/Work_Total!$C10</f>
        <v>7</v>
      </c>
      <c r="N10">
        <f>IF($B10="Day",8,7)-Work_Off!N10/Work_Total!$C10</f>
        <v>0</v>
      </c>
      <c r="O10">
        <f>IF($B10="Day",8,7)-Work_Off!O10/Work_Total!$C10</f>
        <v>0</v>
      </c>
      <c r="P10">
        <f>IF($B10="Day",8,7)-Work_Off!P10/Work_Total!$C10</f>
        <v>7</v>
      </c>
      <c r="Q10">
        <f>IF($B10="Day",8,7)-Work_Off!Q10/Work_Total!$C10</f>
        <v>7</v>
      </c>
      <c r="R10">
        <f>IF($B10="Day",8,7)-Work_Off!R10/Work_Total!$C10</f>
        <v>7</v>
      </c>
      <c r="S10">
        <f>IF($B10="Day",8,7)-Work_Off!S10/Work_Total!$C10</f>
        <v>7</v>
      </c>
      <c r="T10">
        <f>IF($B10="Day",8,7)-Work_Off!T10/Work_Total!$C10</f>
        <v>7</v>
      </c>
      <c r="U10">
        <f>IF($B10="Day",8,7)-Work_Off!U10/Work_Total!$C10</f>
        <v>7</v>
      </c>
      <c r="V10">
        <f>IF($B10="Day",8,7)-Work_Off!V10/Work_Total!$C10</f>
        <v>7</v>
      </c>
      <c r="W10">
        <f>IF($B10="Day",8,7)-Work_Off!W10/Work_Total!$C10</f>
        <v>7</v>
      </c>
      <c r="X10">
        <f>IF($B10="Day",8,7)-Work_Off!X10/Work_Total!$C10</f>
        <v>7</v>
      </c>
      <c r="Y10">
        <f>IF($B10="Day",8,7)-Work_Off!Y10/Work_Total!$C10</f>
        <v>7</v>
      </c>
      <c r="Z10">
        <f>IF($B10="Day",8,7)-Work_Off!Z10/Work_Total!$C10</f>
        <v>7</v>
      </c>
      <c r="AA10">
        <f>IF($B10="Day",8,7)-Work_Off!AA10/Work_Total!$C10</f>
        <v>7</v>
      </c>
      <c r="AB10">
        <f>IF($B10="Day",8,7)-Work_Off!AB10/Work_Total!$C10</f>
        <v>0</v>
      </c>
      <c r="AC10">
        <f>IF($B10="Day",8,7)-Work_Off!AC10/Work_Total!$C10</f>
        <v>0</v>
      </c>
      <c r="AD10">
        <f>IF($B10="Day",8,7)-Work_Off!AD10/Work_Total!$C10</f>
        <v>7</v>
      </c>
      <c r="AE10">
        <f>IF($B10="Day",8,7)-Work_Off!AE10/Work_Total!$C10</f>
        <v>7</v>
      </c>
      <c r="AF10">
        <f>IF($B10="Day",8,7)-Work_Off!AF10/Work_Total!$C10</f>
        <v>7</v>
      </c>
      <c r="AG10">
        <f>IF($B10="Day",8,7)-Work_Off!AG10/Work_Total!$C10</f>
        <v>7</v>
      </c>
      <c r="AH10">
        <f>IF($B10="Day",8,7)-Work_Off!AH10/Work_Total!$C10</f>
        <v>7</v>
      </c>
      <c r="AI10">
        <f>IF($B10="Day",8,7)-Work_Off!AI10/Work_Total!$C10</f>
        <v>0</v>
      </c>
      <c r="AJ10">
        <f>IF($B10="Day",8,7)-Work_Off!AJ10/Work_Total!$C10</f>
        <v>0</v>
      </c>
      <c r="AK10">
        <f>IF($B10="Day",8,7)-Work_Off!AK10/Work_Total!$C10</f>
        <v>7</v>
      </c>
      <c r="AL10">
        <f>IF($B10="Day",8,7)-Work_Off!AL10/Work_Total!$C10</f>
        <v>7</v>
      </c>
      <c r="AM10">
        <f>IF($B10="Day",8,7)-Work_Off!AM10/Work_Total!$C10</f>
        <v>7</v>
      </c>
    </row>
    <row r="11" spans="1:39" x14ac:dyDescent="0.25">
      <c r="B11" t="s">
        <v>19</v>
      </c>
      <c r="C11">
        <v>20</v>
      </c>
      <c r="J11">
        <f>IF($B11="Day",8,7)-Work_Off!J11/Work_Total!$C11</f>
        <v>7</v>
      </c>
      <c r="K11">
        <f>IF($B11="Day",8,7)-Work_Off!K11/Work_Total!$C11</f>
        <v>7</v>
      </c>
      <c r="L11">
        <f>IF($B11="Day",8,7)-Work_Off!L11/Work_Total!$C11</f>
        <v>7</v>
      </c>
      <c r="M11">
        <f>IF($B11="Day",8,7)-Work_Off!M11/Work_Total!$C11</f>
        <v>7</v>
      </c>
      <c r="N11">
        <f>IF($B11="Day",8,7)-Work_Off!N11/Work_Total!$C11</f>
        <v>0</v>
      </c>
      <c r="O11">
        <f>IF($B11="Day",8,7)-Work_Off!O11/Work_Total!$C11</f>
        <v>0</v>
      </c>
      <c r="P11">
        <f>IF($B11="Day",8,7)-Work_Off!P11/Work_Total!$C11</f>
        <v>7</v>
      </c>
      <c r="Q11">
        <f>IF($B11="Day",8,7)-Work_Off!Q11/Work_Total!$C11</f>
        <v>7</v>
      </c>
      <c r="R11">
        <f>IF($B11="Day",8,7)-Work_Off!R11/Work_Total!$C11</f>
        <v>7</v>
      </c>
      <c r="S11">
        <f>IF($B11="Day",8,7)-Work_Off!S11/Work_Total!$C11</f>
        <v>7</v>
      </c>
      <c r="T11">
        <f>IF($B11="Day",8,7)-Work_Off!T11/Work_Total!$C11</f>
        <v>7</v>
      </c>
      <c r="U11">
        <f>IF($B11="Day",8,7)-Work_Off!U11/Work_Total!$C11</f>
        <v>7</v>
      </c>
      <c r="V11">
        <f>IF($B11="Day",8,7)-Work_Off!V11/Work_Total!$C11</f>
        <v>7</v>
      </c>
      <c r="W11">
        <f>IF($B11="Day",8,7)-Work_Off!W11/Work_Total!$C11</f>
        <v>7</v>
      </c>
      <c r="X11">
        <f>IF($B11="Day",8,7)-Work_Off!X11/Work_Total!$C11</f>
        <v>7</v>
      </c>
      <c r="Y11">
        <f>IF($B11="Day",8,7)-Work_Off!Y11/Work_Total!$C11</f>
        <v>7</v>
      </c>
      <c r="Z11">
        <f>IF($B11="Day",8,7)-Work_Off!Z11/Work_Total!$C11</f>
        <v>7</v>
      </c>
      <c r="AA11">
        <f>IF($B11="Day",8,7)-Work_Off!AA11/Work_Total!$C11</f>
        <v>7</v>
      </c>
      <c r="AB11">
        <f>IF($B11="Day",8,7)-Work_Off!AB11/Work_Total!$C11</f>
        <v>0</v>
      </c>
      <c r="AC11">
        <f>IF($B11="Day",8,7)-Work_Off!AC11/Work_Total!$C11</f>
        <v>0</v>
      </c>
      <c r="AD11">
        <f>IF($B11="Day",8,7)-Work_Off!AD11/Work_Total!$C11</f>
        <v>7</v>
      </c>
      <c r="AE11">
        <f>IF($B11="Day",8,7)-Work_Off!AE11/Work_Total!$C11</f>
        <v>7</v>
      </c>
      <c r="AF11">
        <f>IF($B11="Day",8,7)-Work_Off!AF11/Work_Total!$C11</f>
        <v>7</v>
      </c>
      <c r="AG11">
        <f>IF($B11="Day",8,7)-Work_Off!AG11/Work_Total!$C11</f>
        <v>7</v>
      </c>
      <c r="AH11">
        <f>IF($B11="Day",8,7)-Work_Off!AH11/Work_Total!$C11</f>
        <v>7</v>
      </c>
      <c r="AI11">
        <f>IF($B11="Day",8,7)-Work_Off!AI11/Work_Total!$C11</f>
        <v>0</v>
      </c>
      <c r="AJ11">
        <f>IF($B11="Day",8,7)-Work_Off!AJ11/Work_Total!$C11</f>
        <v>0</v>
      </c>
      <c r="AK11">
        <f>IF($B11="Day",8,7)-Work_Off!AK11/Work_Total!$C11</f>
        <v>7</v>
      </c>
      <c r="AL11">
        <f>IF($B11="Day",8,7)-Work_Off!AL11/Work_Total!$C11</f>
        <v>7</v>
      </c>
      <c r="AM11">
        <f>IF($B11="Day",8,7)-Work_Off!AM11/Work_Total!$C11</f>
        <v>7</v>
      </c>
    </row>
    <row r="12" spans="1:39" x14ac:dyDescent="0.25">
      <c r="A12" t="s">
        <v>16</v>
      </c>
      <c r="B12" t="s">
        <v>17</v>
      </c>
      <c r="C12">
        <v>4</v>
      </c>
      <c r="J12">
        <f>IF($B12="Day",8,7)-Work_Off!J12/Work_Total!$C12</f>
        <v>8</v>
      </c>
      <c r="K12">
        <f>IF($B12="Day",8,7)-Work_Off!K12/Work_Total!$C12</f>
        <v>8</v>
      </c>
      <c r="L12">
        <f>IF($B12="Day",8,7)-Work_Off!L12/Work_Total!$C12</f>
        <v>8</v>
      </c>
      <c r="M12">
        <f>IF($B12="Day",8,7)-Work_Off!M12/Work_Total!$C12</f>
        <v>8</v>
      </c>
      <c r="N12">
        <f>IF($B12="Day",8,7)-Work_Off!N12/Work_Total!$C12</f>
        <v>0</v>
      </c>
      <c r="O12">
        <f>IF($B12="Day",8,7)-Work_Off!O12/Work_Total!$C12</f>
        <v>0</v>
      </c>
      <c r="P12">
        <f>IF($B12="Day",8,7)-Work_Off!P12/Work_Total!$C12</f>
        <v>8</v>
      </c>
      <c r="Q12">
        <f>IF($B12="Day",8,7)-Work_Off!Q12/Work_Total!$C12</f>
        <v>8</v>
      </c>
      <c r="R12">
        <f>IF($B12="Day",8,7)-Work_Off!R12/Work_Total!$C12</f>
        <v>8</v>
      </c>
      <c r="S12">
        <f>IF($B12="Day",8,7)-Work_Off!S12/Work_Total!$C12</f>
        <v>8</v>
      </c>
      <c r="T12">
        <f>IF($B12="Day",8,7)-Work_Off!T12/Work_Total!$C12</f>
        <v>8</v>
      </c>
      <c r="U12">
        <f>IF($B12="Day",8,7)-Work_Off!U12/Work_Total!$C12</f>
        <v>8</v>
      </c>
      <c r="V12">
        <f>IF($B12="Day",8,7)-Work_Off!V12/Work_Total!$C12</f>
        <v>8</v>
      </c>
      <c r="W12">
        <f>IF($B12="Day",8,7)-Work_Off!W12/Work_Total!$C12</f>
        <v>8</v>
      </c>
      <c r="X12">
        <f>IF($B12="Day",8,7)-Work_Off!X12/Work_Total!$C12</f>
        <v>8</v>
      </c>
      <c r="Y12">
        <f>IF($B12="Day",8,7)-Work_Off!Y12/Work_Total!$C12</f>
        <v>8</v>
      </c>
      <c r="Z12">
        <f>IF($B12="Day",8,7)-Work_Off!Z12/Work_Total!$C12</f>
        <v>8</v>
      </c>
      <c r="AA12">
        <f>IF($B12="Day",8,7)-Work_Off!AA12/Work_Total!$C12</f>
        <v>8</v>
      </c>
      <c r="AB12">
        <f>IF($B12="Day",8,7)-Work_Off!AB12/Work_Total!$C12</f>
        <v>0</v>
      </c>
      <c r="AC12">
        <f>IF($B12="Day",8,7)-Work_Off!AC12/Work_Total!$C12</f>
        <v>0</v>
      </c>
      <c r="AD12">
        <f>IF($B12="Day",8,7)-Work_Off!AD12/Work_Total!$C12</f>
        <v>8</v>
      </c>
      <c r="AE12">
        <f>IF($B12="Day",8,7)-Work_Off!AE12/Work_Total!$C12</f>
        <v>8</v>
      </c>
      <c r="AF12">
        <f>IF($B12="Day",8,7)-Work_Off!AF12/Work_Total!$C12</f>
        <v>8</v>
      </c>
      <c r="AG12">
        <f>IF($B12="Day",8,7)-Work_Off!AG12/Work_Total!$C12</f>
        <v>8</v>
      </c>
      <c r="AH12">
        <f>IF($B12="Day",8,7)-Work_Off!AH12/Work_Total!$C12</f>
        <v>8</v>
      </c>
      <c r="AI12">
        <f>IF($B12="Day",8,7)-Work_Off!AI12/Work_Total!$C12</f>
        <v>0</v>
      </c>
      <c r="AJ12">
        <f>IF($B12="Day",8,7)-Work_Off!AJ12/Work_Total!$C12</f>
        <v>0</v>
      </c>
      <c r="AK12">
        <f>IF($B12="Day",8,7)-Work_Off!AK12/Work_Total!$C12</f>
        <v>8</v>
      </c>
      <c r="AL12">
        <f>IF($B12="Day",8,7)-Work_Off!AL12/Work_Total!$C12</f>
        <v>8</v>
      </c>
      <c r="AM12">
        <f>IF($B12="Day",8,7)-Work_Off!AM12/Work_Total!$C12</f>
        <v>8</v>
      </c>
    </row>
    <row r="13" spans="1:39" x14ac:dyDescent="0.25">
      <c r="A13" t="s">
        <v>1</v>
      </c>
      <c r="B13" t="s">
        <v>17</v>
      </c>
      <c r="C13">
        <v>5</v>
      </c>
      <c r="J13">
        <f>IF($B13="Day",8,7)-Work_Off!J13/Work_Total!$C13</f>
        <v>8</v>
      </c>
      <c r="K13">
        <f>IF($B13="Day",8,7)-Work_Off!K13/Work_Total!$C13</f>
        <v>8</v>
      </c>
      <c r="L13">
        <f>IF($B13="Day",8,7)-Work_Off!L13/Work_Total!$C13</f>
        <v>8</v>
      </c>
      <c r="M13">
        <f>IF($B13="Day",8,7)-Work_Off!M13/Work_Total!$C13</f>
        <v>8</v>
      </c>
      <c r="N13">
        <f>IF($B13="Day",8,7)-Work_Off!N13/Work_Total!$C13</f>
        <v>0</v>
      </c>
      <c r="O13">
        <f>IF($B13="Day",8,7)-Work_Off!O13/Work_Total!$C13</f>
        <v>0</v>
      </c>
      <c r="P13">
        <f>IF($B13="Day",8,7)-Work_Off!P13/Work_Total!$C13</f>
        <v>8</v>
      </c>
      <c r="Q13">
        <f>IF($B13="Day",8,7)-Work_Off!Q13/Work_Total!$C13</f>
        <v>8</v>
      </c>
      <c r="R13">
        <f>IF($B13="Day",8,7)-Work_Off!R13/Work_Total!$C13</f>
        <v>8</v>
      </c>
      <c r="S13">
        <f>IF($B13="Day",8,7)-Work_Off!S13/Work_Total!$C13</f>
        <v>8</v>
      </c>
      <c r="T13">
        <f>IF($B13="Day",8,7)-Work_Off!T13/Work_Total!$C13</f>
        <v>8</v>
      </c>
      <c r="U13">
        <f>IF($B13="Day",8,7)-Work_Off!U13/Work_Total!$C13</f>
        <v>8</v>
      </c>
      <c r="V13">
        <f>IF($B13="Day",8,7)-Work_Off!V13/Work_Total!$C13</f>
        <v>8</v>
      </c>
      <c r="W13">
        <f>IF($B13="Day",8,7)-Work_Off!W13/Work_Total!$C13</f>
        <v>8</v>
      </c>
      <c r="X13">
        <f>IF($B13="Day",8,7)-Work_Off!X13/Work_Total!$C13</f>
        <v>8</v>
      </c>
      <c r="Y13">
        <f>IF($B13="Day",8,7)-Work_Off!Y13/Work_Total!$C13</f>
        <v>8</v>
      </c>
      <c r="Z13">
        <f>IF($B13="Day",8,7)-Work_Off!Z13/Work_Total!$C13</f>
        <v>8</v>
      </c>
      <c r="AA13">
        <f>IF($B13="Day",8,7)-Work_Off!AA13/Work_Total!$C13</f>
        <v>8</v>
      </c>
      <c r="AB13">
        <f>IF($B13="Day",8,7)-Work_Off!AB13/Work_Total!$C13</f>
        <v>0</v>
      </c>
      <c r="AC13">
        <f>IF($B13="Day",8,7)-Work_Off!AC13/Work_Total!$C13</f>
        <v>0</v>
      </c>
      <c r="AD13">
        <f>IF($B13="Day",8,7)-Work_Off!AD13/Work_Total!$C13</f>
        <v>8</v>
      </c>
      <c r="AE13">
        <f>IF($B13="Day",8,7)-Work_Off!AE13/Work_Total!$C13</f>
        <v>8</v>
      </c>
      <c r="AF13">
        <f>IF($B13="Day",8,7)-Work_Off!AF13/Work_Total!$C13</f>
        <v>8</v>
      </c>
      <c r="AG13">
        <f>IF($B13="Day",8,7)-Work_Off!AG13/Work_Total!$C13</f>
        <v>8</v>
      </c>
      <c r="AH13">
        <f>IF($B13="Day",8,7)-Work_Off!AH13/Work_Total!$C13</f>
        <v>8</v>
      </c>
      <c r="AI13">
        <f>IF($B13="Day",8,7)-Work_Off!AI13/Work_Total!$C13</f>
        <v>0</v>
      </c>
      <c r="AJ13">
        <f>IF($B13="Day",8,7)-Work_Off!AJ13/Work_Total!$C13</f>
        <v>0</v>
      </c>
      <c r="AK13">
        <f>IF($B13="Day",8,7)-Work_Off!AK13/Work_Total!$C13</f>
        <v>8</v>
      </c>
      <c r="AL13">
        <f>IF($B13="Day",8,7)-Work_Off!AL13/Work_Total!$C13</f>
        <v>8</v>
      </c>
      <c r="AM13">
        <f>IF($B13="Day",8,7)-Work_Off!AM13/Work_Total!$C13</f>
        <v>8</v>
      </c>
    </row>
    <row r="14" spans="1:39" x14ac:dyDescent="0.25">
      <c r="A14" t="s">
        <v>2</v>
      </c>
      <c r="B14" t="s">
        <v>17</v>
      </c>
      <c r="C14">
        <v>5</v>
      </c>
      <c r="J14">
        <f>IF($B14="Day",8,7)-Work_Off!J14/Work_Total!$C14</f>
        <v>8</v>
      </c>
      <c r="K14">
        <f>IF($B14="Day",8,7)-Work_Off!K14/Work_Total!$C14</f>
        <v>8</v>
      </c>
      <c r="L14">
        <f>IF($B14="Day",8,7)-Work_Off!L14/Work_Total!$C14</f>
        <v>8</v>
      </c>
      <c r="M14">
        <f>IF($B14="Day",8,7)-Work_Off!M14/Work_Total!$C14</f>
        <v>8</v>
      </c>
      <c r="N14">
        <f>IF($B14="Day",8,7)-Work_Off!N14/Work_Total!$C14</f>
        <v>0</v>
      </c>
      <c r="O14">
        <f>IF($B14="Day",8,7)-Work_Off!O14/Work_Total!$C14</f>
        <v>0</v>
      </c>
      <c r="P14">
        <f>IF($B14="Day",8,7)-Work_Off!P14/Work_Total!$C14</f>
        <v>8</v>
      </c>
      <c r="Q14">
        <f>IF($B14="Day",8,7)-Work_Off!Q14/Work_Total!$C14</f>
        <v>8</v>
      </c>
      <c r="R14">
        <f>IF($B14="Day",8,7)-Work_Off!R14/Work_Total!$C14</f>
        <v>8</v>
      </c>
      <c r="S14">
        <f>IF($B14="Day",8,7)-Work_Off!S14/Work_Total!$C14</f>
        <v>8</v>
      </c>
      <c r="T14">
        <f>IF($B14="Day",8,7)-Work_Off!T14/Work_Total!$C14</f>
        <v>8</v>
      </c>
      <c r="U14">
        <f>IF($B14="Day",8,7)-Work_Off!U14/Work_Total!$C14</f>
        <v>8</v>
      </c>
      <c r="V14">
        <f>IF($B14="Day",8,7)-Work_Off!V14/Work_Total!$C14</f>
        <v>8</v>
      </c>
      <c r="W14">
        <f>IF($B14="Day",8,7)-Work_Off!W14/Work_Total!$C14</f>
        <v>8</v>
      </c>
      <c r="X14">
        <f>IF($B14="Day",8,7)-Work_Off!X14/Work_Total!$C14</f>
        <v>8</v>
      </c>
      <c r="Y14">
        <f>IF($B14="Day",8,7)-Work_Off!Y14/Work_Total!$C14</f>
        <v>8</v>
      </c>
      <c r="Z14">
        <f>IF($B14="Day",8,7)-Work_Off!Z14/Work_Total!$C14</f>
        <v>8</v>
      </c>
      <c r="AA14">
        <f>IF($B14="Day",8,7)-Work_Off!AA14/Work_Total!$C14</f>
        <v>8</v>
      </c>
      <c r="AB14">
        <f>IF($B14="Day",8,7)-Work_Off!AB14/Work_Total!$C14</f>
        <v>0</v>
      </c>
      <c r="AC14">
        <f>IF($B14="Day",8,7)-Work_Off!AC14/Work_Total!$C14</f>
        <v>0</v>
      </c>
      <c r="AD14">
        <f>IF($B14="Day",8,7)-Work_Off!AD14/Work_Total!$C14</f>
        <v>8</v>
      </c>
      <c r="AE14">
        <f>IF($B14="Day",8,7)-Work_Off!AE14/Work_Total!$C14</f>
        <v>8</v>
      </c>
      <c r="AF14">
        <f>IF($B14="Day",8,7)-Work_Off!AF14/Work_Total!$C14</f>
        <v>8</v>
      </c>
      <c r="AG14">
        <f>IF($B14="Day",8,7)-Work_Off!AG14/Work_Total!$C14</f>
        <v>8</v>
      </c>
      <c r="AH14">
        <f>IF($B14="Day",8,7)-Work_Off!AH14/Work_Total!$C14</f>
        <v>8</v>
      </c>
      <c r="AI14">
        <f>IF($B14="Day",8,7)-Work_Off!AI14/Work_Total!$C14</f>
        <v>0</v>
      </c>
      <c r="AJ14">
        <f>IF($B14="Day",8,7)-Work_Off!AJ14/Work_Total!$C14</f>
        <v>0</v>
      </c>
      <c r="AK14">
        <f>IF($B14="Day",8,7)-Work_Off!AK14/Work_Total!$C14</f>
        <v>8</v>
      </c>
      <c r="AL14">
        <f>IF($B14="Day",8,7)-Work_Off!AL14/Work_Total!$C14</f>
        <v>8</v>
      </c>
      <c r="AM14">
        <f>IF($B14="Day",8,7)-Work_Off!AM14/Work_Total!$C14</f>
        <v>8</v>
      </c>
    </row>
    <row r="15" spans="1:39" x14ac:dyDescent="0.25">
      <c r="A15" t="s">
        <v>13</v>
      </c>
      <c r="B15" t="s">
        <v>17</v>
      </c>
      <c r="C15">
        <v>20</v>
      </c>
      <c r="J15">
        <f>IF($B15="Day",8,7)-Work_Off!J15/Work_Total!$C15</f>
        <v>8</v>
      </c>
      <c r="K15">
        <f>IF($B15="Day",8,7)-Work_Off!K15/Work_Total!$C15</f>
        <v>8</v>
      </c>
      <c r="L15">
        <f>IF($B15="Day",8,7)-Work_Off!L15/Work_Total!$C15</f>
        <v>8</v>
      </c>
      <c r="M15">
        <f>IF($B15="Day",8,7)-Work_Off!M15/Work_Total!$C15</f>
        <v>8</v>
      </c>
      <c r="N15">
        <f>IF($B15="Day",8,7)-Work_Off!N15/Work_Total!$C15</f>
        <v>0</v>
      </c>
      <c r="O15">
        <f>IF($B15="Day",8,7)-Work_Off!O15/Work_Total!$C15</f>
        <v>0</v>
      </c>
      <c r="P15">
        <f>IF($B15="Day",8,7)-Work_Off!P15/Work_Total!$C15</f>
        <v>8</v>
      </c>
      <c r="Q15">
        <f>IF($B15="Day",8,7)-Work_Off!Q15/Work_Total!$C15</f>
        <v>8</v>
      </c>
      <c r="R15">
        <f>IF($B15="Day",8,7)-Work_Off!R15/Work_Total!$C15</f>
        <v>8</v>
      </c>
      <c r="S15">
        <f>IF($B15="Day",8,7)-Work_Off!S15/Work_Total!$C15</f>
        <v>8</v>
      </c>
      <c r="T15">
        <f>IF($B15="Day",8,7)-Work_Off!T15/Work_Total!$C15</f>
        <v>8</v>
      </c>
      <c r="U15">
        <f>IF($B15="Day",8,7)-Work_Off!U15/Work_Total!$C15</f>
        <v>8</v>
      </c>
      <c r="V15">
        <f>IF($B15="Day",8,7)-Work_Off!V15/Work_Total!$C15</f>
        <v>8</v>
      </c>
      <c r="W15">
        <f>IF($B15="Day",8,7)-Work_Off!W15/Work_Total!$C15</f>
        <v>8</v>
      </c>
      <c r="X15">
        <f>IF($B15="Day",8,7)-Work_Off!X15/Work_Total!$C15</f>
        <v>8</v>
      </c>
      <c r="Y15">
        <f>IF($B15="Day",8,7)-Work_Off!Y15/Work_Total!$C15</f>
        <v>8</v>
      </c>
      <c r="Z15">
        <f>IF($B15="Day",8,7)-Work_Off!Z15/Work_Total!$C15</f>
        <v>8</v>
      </c>
      <c r="AA15">
        <f>IF($B15="Day",8,7)-Work_Off!AA15/Work_Total!$C15</f>
        <v>8</v>
      </c>
      <c r="AB15">
        <f>IF($B15="Day",8,7)-Work_Off!AB15/Work_Total!$C15</f>
        <v>0</v>
      </c>
      <c r="AC15">
        <f>IF($B15="Day",8,7)-Work_Off!AC15/Work_Total!$C15</f>
        <v>0</v>
      </c>
      <c r="AD15">
        <f>IF($B15="Day",8,7)-Work_Off!AD15/Work_Total!$C15</f>
        <v>8</v>
      </c>
      <c r="AE15">
        <f>IF($B15="Day",8,7)-Work_Off!AE15/Work_Total!$C15</f>
        <v>8</v>
      </c>
      <c r="AF15">
        <f>IF($B15="Day",8,7)-Work_Off!AF15/Work_Total!$C15</f>
        <v>8</v>
      </c>
      <c r="AG15">
        <f>IF($B15="Day",8,7)-Work_Off!AG15/Work_Total!$C15</f>
        <v>8</v>
      </c>
      <c r="AH15">
        <f>IF($B15="Day",8,7)-Work_Off!AH15/Work_Total!$C15</f>
        <v>8</v>
      </c>
      <c r="AI15">
        <f>IF($B15="Day",8,7)-Work_Off!AI15/Work_Total!$C15</f>
        <v>0</v>
      </c>
      <c r="AJ15">
        <f>IF($B15="Day",8,7)-Work_Off!AJ15/Work_Total!$C15</f>
        <v>0</v>
      </c>
      <c r="AK15">
        <f>IF($B15="Day",8,7)-Work_Off!AK15/Work_Total!$C15</f>
        <v>8</v>
      </c>
      <c r="AL15">
        <f>IF($B15="Day",8,7)-Work_Off!AL15/Work_Total!$C15</f>
        <v>8</v>
      </c>
      <c r="AM15">
        <f>IF($B15="Day",8,7)-Work_Off!AM15/Work_Total!$C15</f>
        <v>8</v>
      </c>
    </row>
    <row r="16" spans="1:39" x14ac:dyDescent="0.25">
      <c r="A16" t="s">
        <v>14</v>
      </c>
      <c r="B16" t="s">
        <v>18</v>
      </c>
      <c r="C16">
        <v>20</v>
      </c>
      <c r="J16">
        <f>IF($B16="Day",8,7)-Work_Off!J16/Work_Total!$C16</f>
        <v>7</v>
      </c>
      <c r="K16">
        <f>IF($B16="Day",8,7)-Work_Off!K16/Work_Total!$C16</f>
        <v>7</v>
      </c>
      <c r="L16">
        <f>IF($B16="Day",8,7)-Work_Off!L16/Work_Total!$C16</f>
        <v>7</v>
      </c>
      <c r="M16">
        <f>IF($B16="Day",8,7)-Work_Off!M16/Work_Total!$C16</f>
        <v>7</v>
      </c>
      <c r="N16">
        <f>IF($B16="Day",8,7)-Work_Off!N16/Work_Total!$C16</f>
        <v>0</v>
      </c>
      <c r="O16">
        <f>IF($B16="Day",8,7)-Work_Off!O16/Work_Total!$C16</f>
        <v>0</v>
      </c>
      <c r="P16">
        <f>IF($B16="Day",8,7)-Work_Off!P16/Work_Total!$C16</f>
        <v>7</v>
      </c>
      <c r="Q16">
        <f>IF($B16="Day",8,7)-Work_Off!Q16/Work_Total!$C16</f>
        <v>7</v>
      </c>
      <c r="R16">
        <f>IF($B16="Day",8,7)-Work_Off!R16/Work_Total!$C16</f>
        <v>7</v>
      </c>
      <c r="S16">
        <f>IF($B16="Day",8,7)-Work_Off!S16/Work_Total!$C16</f>
        <v>7</v>
      </c>
      <c r="T16">
        <f>IF($B16="Day",8,7)-Work_Off!T16/Work_Total!$C16</f>
        <v>7</v>
      </c>
      <c r="U16">
        <f>IF($B16="Day",8,7)-Work_Off!U16/Work_Total!$C16</f>
        <v>7</v>
      </c>
      <c r="V16">
        <f>IF($B16="Day",8,7)-Work_Off!V16/Work_Total!$C16</f>
        <v>7</v>
      </c>
      <c r="W16">
        <f>IF($B16="Day",8,7)-Work_Off!W16/Work_Total!$C16</f>
        <v>7</v>
      </c>
      <c r="X16">
        <f>IF($B16="Day",8,7)-Work_Off!X16/Work_Total!$C16</f>
        <v>7</v>
      </c>
      <c r="Y16">
        <f>IF($B16="Day",8,7)-Work_Off!Y16/Work_Total!$C16</f>
        <v>7</v>
      </c>
      <c r="Z16">
        <f>IF($B16="Day",8,7)-Work_Off!Z16/Work_Total!$C16</f>
        <v>7</v>
      </c>
      <c r="AA16">
        <f>IF($B16="Day",8,7)-Work_Off!AA16/Work_Total!$C16</f>
        <v>7</v>
      </c>
      <c r="AB16">
        <f>IF($B16="Day",8,7)-Work_Off!AB16/Work_Total!$C16</f>
        <v>0</v>
      </c>
      <c r="AC16">
        <f>IF($B16="Day",8,7)-Work_Off!AC16/Work_Total!$C16</f>
        <v>0</v>
      </c>
      <c r="AD16">
        <f>IF($B16="Day",8,7)-Work_Off!AD16/Work_Total!$C16</f>
        <v>7</v>
      </c>
      <c r="AE16">
        <f>IF($B16="Day",8,7)-Work_Off!AE16/Work_Total!$C16</f>
        <v>7</v>
      </c>
      <c r="AF16">
        <f>IF($B16="Day",8,7)-Work_Off!AF16/Work_Total!$C16</f>
        <v>7</v>
      </c>
      <c r="AG16">
        <f>IF($B16="Day",8,7)-Work_Off!AG16/Work_Total!$C16</f>
        <v>7</v>
      </c>
      <c r="AH16">
        <f>IF($B16="Day",8,7)-Work_Off!AH16/Work_Total!$C16</f>
        <v>7</v>
      </c>
      <c r="AI16">
        <f>IF($B16="Day",8,7)-Work_Off!AI16/Work_Total!$C16</f>
        <v>0</v>
      </c>
      <c r="AJ16">
        <f>IF($B16="Day",8,7)-Work_Off!AJ16/Work_Total!$C16</f>
        <v>0</v>
      </c>
      <c r="AK16">
        <f>IF($B16="Day",8,7)-Work_Off!AK16/Work_Total!$C16</f>
        <v>7</v>
      </c>
      <c r="AL16">
        <f>IF($B16="Day",8,7)-Work_Off!AL16/Work_Total!$C16</f>
        <v>7</v>
      </c>
      <c r="AM16">
        <f>IF($B16="Day",8,7)-Work_Off!AM16/Work_Total!$C16</f>
        <v>7</v>
      </c>
    </row>
    <row r="17" spans="1:39" x14ac:dyDescent="0.25">
      <c r="B17" t="s">
        <v>19</v>
      </c>
      <c r="C17">
        <v>20</v>
      </c>
      <c r="J17">
        <f>IF($B17="Day",8,7)-Work_Off!J17/Work_Total!$C17</f>
        <v>7</v>
      </c>
      <c r="K17">
        <f>IF($B17="Day",8,7)-Work_Off!K17/Work_Total!$C17</f>
        <v>7</v>
      </c>
      <c r="L17">
        <f>IF($B17="Day",8,7)-Work_Off!L17/Work_Total!$C17</f>
        <v>7</v>
      </c>
      <c r="M17">
        <f>IF($B17="Day",8,7)-Work_Off!M17/Work_Total!$C17</f>
        <v>7</v>
      </c>
      <c r="N17">
        <f>IF($B17="Day",8,7)-Work_Off!N17/Work_Total!$C17</f>
        <v>0</v>
      </c>
      <c r="O17">
        <f>IF($B17="Day",8,7)-Work_Off!O17/Work_Total!$C17</f>
        <v>0</v>
      </c>
      <c r="P17">
        <f>IF($B17="Day",8,7)-Work_Off!P17/Work_Total!$C17</f>
        <v>7</v>
      </c>
      <c r="Q17">
        <f>IF($B17="Day",8,7)-Work_Off!Q17/Work_Total!$C17</f>
        <v>7</v>
      </c>
      <c r="R17">
        <f>IF($B17="Day",8,7)-Work_Off!R17/Work_Total!$C17</f>
        <v>7</v>
      </c>
      <c r="S17">
        <f>IF($B17="Day",8,7)-Work_Off!S17/Work_Total!$C17</f>
        <v>7</v>
      </c>
      <c r="T17">
        <f>IF($B17="Day",8,7)-Work_Off!T17/Work_Total!$C17</f>
        <v>7</v>
      </c>
      <c r="U17">
        <f>IF($B17="Day",8,7)-Work_Off!U17/Work_Total!$C17</f>
        <v>7</v>
      </c>
      <c r="V17">
        <f>IF($B17="Day",8,7)-Work_Off!V17/Work_Total!$C17</f>
        <v>7</v>
      </c>
      <c r="W17">
        <f>IF($B17="Day",8,7)-Work_Off!W17/Work_Total!$C17</f>
        <v>7</v>
      </c>
      <c r="X17">
        <f>IF($B17="Day",8,7)-Work_Off!X17/Work_Total!$C17</f>
        <v>7</v>
      </c>
      <c r="Y17">
        <f>IF($B17="Day",8,7)-Work_Off!Y17/Work_Total!$C17</f>
        <v>7</v>
      </c>
      <c r="Z17">
        <f>IF($B17="Day",8,7)-Work_Off!Z17/Work_Total!$C17</f>
        <v>7</v>
      </c>
      <c r="AA17">
        <f>IF($B17="Day",8,7)-Work_Off!AA17/Work_Total!$C17</f>
        <v>7</v>
      </c>
      <c r="AB17">
        <f>IF($B17="Day",8,7)-Work_Off!AB17/Work_Total!$C17</f>
        <v>0</v>
      </c>
      <c r="AC17">
        <f>IF($B17="Day",8,7)-Work_Off!AC17/Work_Total!$C17</f>
        <v>0</v>
      </c>
      <c r="AD17">
        <f>IF($B17="Day",8,7)-Work_Off!AD17/Work_Total!$C17</f>
        <v>7</v>
      </c>
      <c r="AE17">
        <f>IF($B17="Day",8,7)-Work_Off!AE17/Work_Total!$C17</f>
        <v>7</v>
      </c>
      <c r="AF17">
        <f>IF($B17="Day",8,7)-Work_Off!AF17/Work_Total!$C17</f>
        <v>7</v>
      </c>
      <c r="AG17">
        <f>IF($B17="Day",8,7)-Work_Off!AG17/Work_Total!$C17</f>
        <v>7</v>
      </c>
      <c r="AH17">
        <f>IF($B17="Day",8,7)-Work_Off!AH17/Work_Total!$C17</f>
        <v>7</v>
      </c>
      <c r="AI17">
        <f>IF($B17="Day",8,7)-Work_Off!AI17/Work_Total!$C17</f>
        <v>0</v>
      </c>
      <c r="AJ17">
        <f>IF($B17="Day",8,7)-Work_Off!AJ17/Work_Total!$C17</f>
        <v>0</v>
      </c>
      <c r="AK17">
        <f>IF($B17="Day",8,7)-Work_Off!AK17/Work_Total!$C17</f>
        <v>7</v>
      </c>
      <c r="AL17">
        <f>IF($B17="Day",8,7)-Work_Off!AL17/Work_Total!$C17</f>
        <v>7</v>
      </c>
      <c r="AM17">
        <f>IF($B17="Day",8,7)-Work_Off!AM17/Work_Total!$C17</f>
        <v>7</v>
      </c>
    </row>
    <row r="18" spans="1:39" x14ac:dyDescent="0.25">
      <c r="A18" t="s">
        <v>15</v>
      </c>
      <c r="B18" t="s">
        <v>18</v>
      </c>
      <c r="C18">
        <v>20</v>
      </c>
      <c r="J18">
        <f>IF($B18="Day",8,7)-Work_Off!J18/Work_Total!$C18</f>
        <v>7</v>
      </c>
      <c r="K18">
        <f>IF($B18="Day",8,7)-Work_Off!K18/Work_Total!$C18</f>
        <v>7</v>
      </c>
      <c r="L18">
        <f>IF($B18="Day",8,7)-Work_Off!L18/Work_Total!$C18</f>
        <v>7</v>
      </c>
      <c r="M18">
        <f>IF($B18="Day",8,7)-Work_Off!M18/Work_Total!$C18</f>
        <v>7</v>
      </c>
      <c r="N18">
        <f>IF($B18="Day",8,7)-Work_Off!N18/Work_Total!$C18</f>
        <v>0</v>
      </c>
      <c r="O18">
        <f>IF($B18="Day",8,7)-Work_Off!O18/Work_Total!$C18</f>
        <v>0</v>
      </c>
      <c r="P18">
        <f>IF($B18="Day",8,7)-Work_Off!P18/Work_Total!$C18</f>
        <v>7</v>
      </c>
      <c r="Q18">
        <f>IF($B18="Day",8,7)-Work_Off!Q18/Work_Total!$C18</f>
        <v>7</v>
      </c>
      <c r="R18">
        <f>IF($B18="Day",8,7)-Work_Off!R18/Work_Total!$C18</f>
        <v>7</v>
      </c>
      <c r="S18">
        <f>IF($B18="Day",8,7)-Work_Off!S18/Work_Total!$C18</f>
        <v>7</v>
      </c>
      <c r="T18">
        <f>IF($B18="Day",8,7)-Work_Off!T18/Work_Total!$C18</f>
        <v>7</v>
      </c>
      <c r="U18">
        <f>IF($B18="Day",8,7)-Work_Off!U18/Work_Total!$C18</f>
        <v>7</v>
      </c>
      <c r="V18">
        <f>IF($B18="Day",8,7)-Work_Off!V18/Work_Total!$C18</f>
        <v>7</v>
      </c>
      <c r="W18">
        <f>IF($B18="Day",8,7)-Work_Off!W18/Work_Total!$C18</f>
        <v>7</v>
      </c>
      <c r="X18">
        <f>IF($B18="Day",8,7)-Work_Off!X18/Work_Total!$C18</f>
        <v>7</v>
      </c>
      <c r="Y18">
        <f>IF($B18="Day",8,7)-Work_Off!Y18/Work_Total!$C18</f>
        <v>7</v>
      </c>
      <c r="Z18">
        <f>IF($B18="Day",8,7)-Work_Off!Z18/Work_Total!$C18</f>
        <v>7</v>
      </c>
      <c r="AA18">
        <f>IF($B18="Day",8,7)-Work_Off!AA18/Work_Total!$C18</f>
        <v>7</v>
      </c>
      <c r="AB18">
        <f>IF($B18="Day",8,7)-Work_Off!AB18/Work_Total!$C18</f>
        <v>0</v>
      </c>
      <c r="AC18">
        <f>IF($B18="Day",8,7)-Work_Off!AC18/Work_Total!$C18</f>
        <v>0</v>
      </c>
      <c r="AD18">
        <f>IF($B18="Day",8,7)-Work_Off!AD18/Work_Total!$C18</f>
        <v>7</v>
      </c>
      <c r="AE18">
        <f>IF($B18="Day",8,7)-Work_Off!AE18/Work_Total!$C18</f>
        <v>7</v>
      </c>
      <c r="AF18">
        <f>IF($B18="Day",8,7)-Work_Off!AF18/Work_Total!$C18</f>
        <v>7</v>
      </c>
      <c r="AG18">
        <f>IF($B18="Day",8,7)-Work_Off!AG18/Work_Total!$C18</f>
        <v>7</v>
      </c>
      <c r="AH18">
        <f>IF($B18="Day",8,7)-Work_Off!AH18/Work_Total!$C18</f>
        <v>7</v>
      </c>
      <c r="AI18">
        <f>IF($B18="Day",8,7)-Work_Off!AI18/Work_Total!$C18</f>
        <v>0</v>
      </c>
      <c r="AJ18">
        <f>IF($B18="Day",8,7)-Work_Off!AJ18/Work_Total!$C18</f>
        <v>0</v>
      </c>
      <c r="AK18">
        <f>IF($B18="Day",8,7)-Work_Off!AK18/Work_Total!$C18</f>
        <v>7</v>
      </c>
      <c r="AL18">
        <f>IF($B18="Day",8,7)-Work_Off!AL18/Work_Total!$C18</f>
        <v>7</v>
      </c>
      <c r="AM18">
        <f>IF($B18="Day",8,7)-Work_Off!AM18/Work_Total!$C18</f>
        <v>7</v>
      </c>
    </row>
    <row r="19" spans="1:39" x14ac:dyDescent="0.25">
      <c r="B19" t="s">
        <v>19</v>
      </c>
      <c r="C19">
        <v>20</v>
      </c>
      <c r="J19">
        <f>IF($B19="Day",8,7)-Work_Off!J19/Work_Total!$C19</f>
        <v>7</v>
      </c>
      <c r="K19">
        <f>IF($B19="Day",8,7)-Work_Off!K19/Work_Total!$C19</f>
        <v>7</v>
      </c>
      <c r="L19">
        <f>IF($B19="Day",8,7)-Work_Off!L19/Work_Total!$C19</f>
        <v>7</v>
      </c>
      <c r="M19">
        <f>IF($B19="Day",8,7)-Work_Off!M19/Work_Total!$C19</f>
        <v>7</v>
      </c>
      <c r="N19">
        <f>IF($B19="Day",8,7)-Work_Off!N19/Work_Total!$C19</f>
        <v>0</v>
      </c>
      <c r="O19">
        <f>IF($B19="Day",8,7)-Work_Off!O19/Work_Total!$C19</f>
        <v>0</v>
      </c>
      <c r="P19">
        <f>IF($B19="Day",8,7)-Work_Off!P19/Work_Total!$C19</f>
        <v>7</v>
      </c>
      <c r="Q19">
        <f>IF($B19="Day",8,7)-Work_Off!Q19/Work_Total!$C19</f>
        <v>7</v>
      </c>
      <c r="R19">
        <f>IF($B19="Day",8,7)-Work_Off!R19/Work_Total!$C19</f>
        <v>7</v>
      </c>
      <c r="S19">
        <f>IF($B19="Day",8,7)-Work_Off!S19/Work_Total!$C19</f>
        <v>7</v>
      </c>
      <c r="T19">
        <f>IF($B19="Day",8,7)-Work_Off!T19/Work_Total!$C19</f>
        <v>7</v>
      </c>
      <c r="U19">
        <f>IF($B19="Day",8,7)-Work_Off!U19/Work_Total!$C19</f>
        <v>7</v>
      </c>
      <c r="V19">
        <f>IF($B19="Day",8,7)-Work_Off!V19/Work_Total!$C19</f>
        <v>7</v>
      </c>
      <c r="W19">
        <f>IF($B19="Day",8,7)-Work_Off!W19/Work_Total!$C19</f>
        <v>7</v>
      </c>
      <c r="X19">
        <f>IF($B19="Day",8,7)-Work_Off!X19/Work_Total!$C19</f>
        <v>7</v>
      </c>
      <c r="Y19">
        <f>IF($B19="Day",8,7)-Work_Off!Y19/Work_Total!$C19</f>
        <v>7</v>
      </c>
      <c r="Z19">
        <f>IF($B19="Day",8,7)-Work_Off!Z19/Work_Total!$C19</f>
        <v>7</v>
      </c>
      <c r="AA19">
        <f>IF($B19="Day",8,7)-Work_Off!AA19/Work_Total!$C19</f>
        <v>7</v>
      </c>
      <c r="AB19">
        <f>IF($B19="Day",8,7)-Work_Off!AB19/Work_Total!$C19</f>
        <v>0</v>
      </c>
      <c r="AC19">
        <f>IF($B19="Day",8,7)-Work_Off!AC19/Work_Total!$C19</f>
        <v>0</v>
      </c>
      <c r="AD19">
        <f>IF($B19="Day",8,7)-Work_Off!AD19/Work_Total!$C19</f>
        <v>7</v>
      </c>
      <c r="AE19">
        <f>IF($B19="Day",8,7)-Work_Off!AE19/Work_Total!$C19</f>
        <v>7</v>
      </c>
      <c r="AF19">
        <f>IF($B19="Day",8,7)-Work_Off!AF19/Work_Total!$C19</f>
        <v>7</v>
      </c>
      <c r="AG19">
        <f>IF($B19="Day",8,7)-Work_Off!AG19/Work_Total!$C19</f>
        <v>7</v>
      </c>
      <c r="AH19">
        <f>IF($B19="Day",8,7)-Work_Off!AH19/Work_Total!$C19</f>
        <v>7</v>
      </c>
      <c r="AI19">
        <f>IF($B19="Day",8,7)-Work_Off!AI19/Work_Total!$C19</f>
        <v>0</v>
      </c>
      <c r="AJ19">
        <f>IF($B19="Day",8,7)-Work_Off!AJ19/Work_Total!$C19</f>
        <v>0</v>
      </c>
      <c r="AK19">
        <f>IF($B19="Day",8,7)-Work_Off!AK19/Work_Total!$C19</f>
        <v>7</v>
      </c>
      <c r="AL19">
        <f>IF($B19="Day",8,7)-Work_Off!AL19/Work_Total!$C19</f>
        <v>7</v>
      </c>
      <c r="AM19">
        <f>IF($B19="Day",8,7)-Work_Off!AM19/Work_Total!$C19</f>
        <v>7</v>
      </c>
    </row>
    <row r="20" spans="1:39" x14ac:dyDescent="0.25">
      <c r="A20" t="s">
        <v>9</v>
      </c>
      <c r="B20" t="s">
        <v>17</v>
      </c>
      <c r="C20">
        <v>8</v>
      </c>
      <c r="J20">
        <f>IF($B20="Day",8,7)-Work_Off!J20/Work_Total!$C20</f>
        <v>8</v>
      </c>
      <c r="K20">
        <f>IF($B20="Day",8,7)-Work_Off!K20/Work_Total!$C20</f>
        <v>8</v>
      </c>
      <c r="L20">
        <f>IF($B20="Day",8,7)-Work_Off!L20/Work_Total!$C20</f>
        <v>8</v>
      </c>
      <c r="M20">
        <f>IF($B20="Day",8,7)-Work_Off!M20/Work_Total!$C20</f>
        <v>8</v>
      </c>
      <c r="N20">
        <f>IF($B20="Day",8,7)-Work_Off!N20/Work_Total!$C20</f>
        <v>0</v>
      </c>
      <c r="O20">
        <f>IF($B20="Day",8,7)-Work_Off!O20/Work_Total!$C20</f>
        <v>0</v>
      </c>
      <c r="P20">
        <f>IF($B20="Day",8,7)-Work_Off!P20/Work_Total!$C20</f>
        <v>8</v>
      </c>
      <c r="Q20">
        <f>IF($B20="Day",8,7)-Work_Off!Q20/Work_Total!$C20</f>
        <v>8</v>
      </c>
      <c r="R20">
        <f>IF($B20="Day",8,7)-Work_Off!R20/Work_Total!$C20</f>
        <v>8</v>
      </c>
      <c r="S20">
        <f>IF($B20="Day",8,7)-Work_Off!S20/Work_Total!$C20</f>
        <v>8</v>
      </c>
      <c r="T20">
        <f>IF($B20="Day",8,7)-Work_Off!T20/Work_Total!$C20</f>
        <v>8</v>
      </c>
      <c r="U20">
        <f>IF($B20="Day",8,7)-Work_Off!U20/Work_Total!$C20</f>
        <v>8</v>
      </c>
      <c r="V20">
        <f>IF($B20="Day",8,7)-Work_Off!V20/Work_Total!$C20</f>
        <v>8</v>
      </c>
      <c r="W20">
        <f>IF($B20="Day",8,7)-Work_Off!W20/Work_Total!$C20</f>
        <v>8</v>
      </c>
      <c r="X20">
        <f>IF($B20="Day",8,7)-Work_Off!X20/Work_Total!$C20</f>
        <v>8</v>
      </c>
      <c r="Y20">
        <f>IF($B20="Day",8,7)-Work_Off!Y20/Work_Total!$C20</f>
        <v>8</v>
      </c>
      <c r="Z20">
        <f>IF($B20="Day",8,7)-Work_Off!Z20/Work_Total!$C20</f>
        <v>8</v>
      </c>
      <c r="AA20">
        <f>IF($B20="Day",8,7)-Work_Off!AA20/Work_Total!$C20</f>
        <v>8</v>
      </c>
      <c r="AB20">
        <f>IF($B20="Day",8,7)-Work_Off!AB20/Work_Total!$C20</f>
        <v>0</v>
      </c>
      <c r="AC20">
        <f>IF($B20="Day",8,7)-Work_Off!AC20/Work_Total!$C20</f>
        <v>0</v>
      </c>
      <c r="AD20">
        <f>IF($B20="Day",8,7)-Work_Off!AD20/Work_Total!$C20</f>
        <v>8</v>
      </c>
      <c r="AE20">
        <f>IF($B20="Day",8,7)-Work_Off!AE20/Work_Total!$C20</f>
        <v>8</v>
      </c>
      <c r="AF20">
        <f>IF($B20="Day",8,7)-Work_Off!AF20/Work_Total!$C20</f>
        <v>8</v>
      </c>
      <c r="AG20">
        <f>IF($B20="Day",8,7)-Work_Off!AG20/Work_Total!$C20</f>
        <v>8</v>
      </c>
      <c r="AH20">
        <f>IF($B20="Day",8,7)-Work_Off!AH20/Work_Total!$C20</f>
        <v>8</v>
      </c>
      <c r="AI20">
        <f>IF($B20="Day",8,7)-Work_Off!AI20/Work_Total!$C20</f>
        <v>0</v>
      </c>
      <c r="AJ20">
        <f>IF($B20="Day",8,7)-Work_Off!AJ20/Work_Total!$C20</f>
        <v>0</v>
      </c>
      <c r="AK20">
        <f>IF($B20="Day",8,7)-Work_Off!AK20/Work_Total!$C20</f>
        <v>8</v>
      </c>
      <c r="AL20">
        <f>IF($B20="Day",8,7)-Work_Off!AL20/Work_Total!$C20</f>
        <v>8</v>
      </c>
      <c r="AM20">
        <f>IF($B20="Day",8,7)-Work_Off!AM20/Work_Total!$C20</f>
        <v>8</v>
      </c>
    </row>
    <row r="21" spans="1:39" x14ac:dyDescent="0.25">
      <c r="A21" t="s">
        <v>10</v>
      </c>
      <c r="B21" t="s">
        <v>17</v>
      </c>
      <c r="C21">
        <v>8</v>
      </c>
      <c r="J21">
        <f>IF($B21="Day",8,7)-Work_Off!J21/Work_Total!$C21</f>
        <v>8</v>
      </c>
      <c r="K21">
        <f>IF($B21="Day",8,7)-Work_Off!K21/Work_Total!$C21</f>
        <v>8</v>
      </c>
      <c r="L21">
        <f>IF($B21="Day",8,7)-Work_Off!L21/Work_Total!$C21</f>
        <v>8</v>
      </c>
      <c r="M21">
        <f>IF($B21="Day",8,7)-Work_Off!M21/Work_Total!$C21</f>
        <v>8</v>
      </c>
      <c r="N21">
        <f>IF($B21="Day",8,7)-Work_Off!N21/Work_Total!$C21</f>
        <v>0</v>
      </c>
      <c r="O21">
        <f>IF($B21="Day",8,7)-Work_Off!O21/Work_Total!$C21</f>
        <v>0</v>
      </c>
      <c r="P21">
        <f>IF($B21="Day",8,7)-Work_Off!P21/Work_Total!$C21</f>
        <v>8</v>
      </c>
      <c r="Q21">
        <f>IF($B21="Day",8,7)-Work_Off!Q21/Work_Total!$C21</f>
        <v>8</v>
      </c>
      <c r="R21">
        <f>IF($B21="Day",8,7)-Work_Off!R21/Work_Total!$C21</f>
        <v>8</v>
      </c>
      <c r="S21">
        <f>IF($B21="Day",8,7)-Work_Off!S21/Work_Total!$C21</f>
        <v>8</v>
      </c>
      <c r="T21">
        <f>IF($B21="Day",8,7)-Work_Off!T21/Work_Total!$C21</f>
        <v>8</v>
      </c>
      <c r="U21">
        <f>IF($B21="Day",8,7)-Work_Off!U21/Work_Total!$C21</f>
        <v>8</v>
      </c>
      <c r="V21">
        <f>IF($B21="Day",8,7)-Work_Off!V21/Work_Total!$C21</f>
        <v>8</v>
      </c>
      <c r="W21">
        <f>IF($B21="Day",8,7)-Work_Off!W21/Work_Total!$C21</f>
        <v>8</v>
      </c>
      <c r="X21">
        <f>IF($B21="Day",8,7)-Work_Off!X21/Work_Total!$C21</f>
        <v>8</v>
      </c>
      <c r="Y21">
        <f>IF($B21="Day",8,7)-Work_Off!Y21/Work_Total!$C21</f>
        <v>8</v>
      </c>
      <c r="Z21">
        <f>IF($B21="Day",8,7)-Work_Off!Z21/Work_Total!$C21</f>
        <v>8</v>
      </c>
      <c r="AA21">
        <f>IF($B21="Day",8,7)-Work_Off!AA21/Work_Total!$C21</f>
        <v>8</v>
      </c>
      <c r="AB21">
        <f>IF($B21="Day",8,7)-Work_Off!AB21/Work_Total!$C21</f>
        <v>0</v>
      </c>
      <c r="AC21">
        <f>IF($B21="Day",8,7)-Work_Off!AC21/Work_Total!$C21</f>
        <v>0</v>
      </c>
      <c r="AD21">
        <f>IF($B21="Day",8,7)-Work_Off!AD21/Work_Total!$C21</f>
        <v>8</v>
      </c>
      <c r="AE21">
        <f>IF($B21="Day",8,7)-Work_Off!AE21/Work_Total!$C21</f>
        <v>8</v>
      </c>
      <c r="AF21">
        <f>IF($B21="Day",8,7)-Work_Off!AF21/Work_Total!$C21</f>
        <v>8</v>
      </c>
      <c r="AG21">
        <f>IF($B21="Day",8,7)-Work_Off!AG21/Work_Total!$C21</f>
        <v>8</v>
      </c>
      <c r="AH21">
        <f>IF($B21="Day",8,7)-Work_Off!AH21/Work_Total!$C21</f>
        <v>8</v>
      </c>
      <c r="AI21">
        <f>IF($B21="Day",8,7)-Work_Off!AI21/Work_Total!$C21</f>
        <v>0</v>
      </c>
      <c r="AJ21">
        <f>IF($B21="Day",8,7)-Work_Off!AJ21/Work_Total!$C21</f>
        <v>0</v>
      </c>
      <c r="AK21">
        <f>IF($B21="Day",8,7)-Work_Off!AK21/Work_Total!$C21</f>
        <v>8</v>
      </c>
      <c r="AL21">
        <f>IF($B21="Day",8,7)-Work_Off!AL21/Work_Total!$C21</f>
        <v>8</v>
      </c>
      <c r="AM21">
        <f>IF($B21="Day",8,7)-Work_Off!AM21/Work_Total!$C21</f>
        <v>8</v>
      </c>
    </row>
    <row r="22" spans="1:39" x14ac:dyDescent="0.25">
      <c r="A22" t="s">
        <v>11</v>
      </c>
      <c r="B22" t="s">
        <v>17</v>
      </c>
      <c r="C22">
        <v>8</v>
      </c>
      <c r="J22">
        <f>IF($B22="Day",8,7)-Work_Off!J22/Work_Total!$C22</f>
        <v>8</v>
      </c>
      <c r="K22">
        <f>IF($B22="Day",8,7)-Work_Off!K22/Work_Total!$C22</f>
        <v>8</v>
      </c>
      <c r="L22">
        <f>IF($B22="Day",8,7)-Work_Off!L22/Work_Total!$C22</f>
        <v>8</v>
      </c>
      <c r="M22">
        <f>IF($B22="Day",8,7)-Work_Off!M22/Work_Total!$C22</f>
        <v>8</v>
      </c>
      <c r="N22">
        <f>IF($B22="Day",8,7)-Work_Off!N22/Work_Total!$C22</f>
        <v>0</v>
      </c>
      <c r="O22">
        <f>IF($B22="Day",8,7)-Work_Off!O22/Work_Total!$C22</f>
        <v>0</v>
      </c>
      <c r="P22">
        <f>IF($B22="Day",8,7)-Work_Off!P22/Work_Total!$C22</f>
        <v>8</v>
      </c>
      <c r="Q22">
        <f>IF($B22="Day",8,7)-Work_Off!Q22/Work_Total!$C22</f>
        <v>8</v>
      </c>
      <c r="R22">
        <f>IF($B22="Day",8,7)-Work_Off!R22/Work_Total!$C22</f>
        <v>8</v>
      </c>
      <c r="S22">
        <f>IF($B22="Day",8,7)-Work_Off!S22/Work_Total!$C22</f>
        <v>8</v>
      </c>
      <c r="T22">
        <f>IF($B22="Day",8,7)-Work_Off!T22/Work_Total!$C22</f>
        <v>8</v>
      </c>
      <c r="U22">
        <f>IF($B22="Day",8,7)-Work_Off!U22/Work_Total!$C22</f>
        <v>8</v>
      </c>
      <c r="V22">
        <f>IF($B22="Day",8,7)-Work_Off!V22/Work_Total!$C22</f>
        <v>8</v>
      </c>
      <c r="W22">
        <f>IF($B22="Day",8,7)-Work_Off!W22/Work_Total!$C22</f>
        <v>8</v>
      </c>
      <c r="X22">
        <f>IF($B22="Day",8,7)-Work_Off!X22/Work_Total!$C22</f>
        <v>8</v>
      </c>
      <c r="Y22">
        <f>IF($B22="Day",8,7)-Work_Off!Y22/Work_Total!$C22</f>
        <v>8</v>
      </c>
      <c r="Z22">
        <f>IF($B22="Day",8,7)-Work_Off!Z22/Work_Total!$C22</f>
        <v>8</v>
      </c>
      <c r="AA22">
        <f>IF($B22="Day",8,7)-Work_Off!AA22/Work_Total!$C22</f>
        <v>8</v>
      </c>
      <c r="AB22">
        <f>IF($B22="Day",8,7)-Work_Off!AB22/Work_Total!$C22</f>
        <v>0</v>
      </c>
      <c r="AC22">
        <f>IF($B22="Day",8,7)-Work_Off!AC22/Work_Total!$C22</f>
        <v>0</v>
      </c>
      <c r="AD22">
        <f>IF($B22="Day",8,7)-Work_Off!AD22/Work_Total!$C22</f>
        <v>8</v>
      </c>
      <c r="AE22">
        <f>IF($B22="Day",8,7)-Work_Off!AE22/Work_Total!$C22</f>
        <v>8</v>
      </c>
      <c r="AF22">
        <f>IF($B22="Day",8,7)-Work_Off!AF22/Work_Total!$C22</f>
        <v>8</v>
      </c>
      <c r="AG22">
        <f>IF($B22="Day",8,7)-Work_Off!AG22/Work_Total!$C22</f>
        <v>8</v>
      </c>
      <c r="AH22">
        <f>IF($B22="Day",8,7)-Work_Off!AH22/Work_Total!$C22</f>
        <v>8</v>
      </c>
      <c r="AI22">
        <f>IF($B22="Day",8,7)-Work_Off!AI22/Work_Total!$C22</f>
        <v>0</v>
      </c>
      <c r="AJ22">
        <f>IF($B22="Day",8,7)-Work_Off!AJ22/Work_Total!$C22</f>
        <v>0</v>
      </c>
      <c r="AK22">
        <f>IF($B22="Day",8,7)-Work_Off!AK22/Work_Total!$C22</f>
        <v>8</v>
      </c>
      <c r="AL22">
        <f>IF($B22="Day",8,7)-Work_Off!AL22/Work_Total!$C22</f>
        <v>8</v>
      </c>
      <c r="AM22">
        <f>IF($B22="Day",8,7)-Work_Off!AM22/Work_Total!$C22</f>
        <v>8</v>
      </c>
    </row>
    <row r="23" spans="1:39" x14ac:dyDescent="0.25">
      <c r="A23" t="s">
        <v>12</v>
      </c>
      <c r="B23" t="s">
        <v>18</v>
      </c>
      <c r="C23">
        <v>4</v>
      </c>
      <c r="J23">
        <f>IF($B23="Day",8,7)-Work_Off!J23/Work_Total!$C23</f>
        <v>7</v>
      </c>
      <c r="K23">
        <f>IF($B23="Day",8,7)-Work_Off!K23/Work_Total!$C23</f>
        <v>7</v>
      </c>
      <c r="L23">
        <f>IF($B23="Day",8,7)-Work_Off!L23/Work_Total!$C23</f>
        <v>7</v>
      </c>
      <c r="M23">
        <f>IF($B23="Day",8,7)-Work_Off!M23/Work_Total!$C23</f>
        <v>7</v>
      </c>
      <c r="N23">
        <f>IF($B23="Day",8,7)-Work_Off!N23/Work_Total!$C23</f>
        <v>0</v>
      </c>
      <c r="O23">
        <f>IF($B23="Day",8,7)-Work_Off!O23/Work_Total!$C23</f>
        <v>0</v>
      </c>
      <c r="P23">
        <f>IF($B23="Day",8,7)-Work_Off!P23/Work_Total!$C23</f>
        <v>7</v>
      </c>
      <c r="Q23">
        <f>IF($B23="Day",8,7)-Work_Off!Q23/Work_Total!$C23</f>
        <v>7</v>
      </c>
      <c r="R23">
        <f>IF($B23="Day",8,7)-Work_Off!R23/Work_Total!$C23</f>
        <v>7</v>
      </c>
      <c r="S23">
        <f>IF($B23="Day",8,7)-Work_Off!S23/Work_Total!$C23</f>
        <v>7</v>
      </c>
      <c r="T23">
        <f>IF($B23="Day",8,7)-Work_Off!T23/Work_Total!$C23</f>
        <v>7</v>
      </c>
      <c r="U23">
        <f>IF($B23="Day",8,7)-Work_Off!U23/Work_Total!$C23</f>
        <v>7</v>
      </c>
      <c r="V23">
        <f>IF($B23="Day",8,7)-Work_Off!V23/Work_Total!$C23</f>
        <v>7</v>
      </c>
      <c r="W23">
        <f>IF($B23="Day",8,7)-Work_Off!W23/Work_Total!$C23</f>
        <v>7</v>
      </c>
      <c r="X23">
        <f>IF($B23="Day",8,7)-Work_Off!X23/Work_Total!$C23</f>
        <v>7</v>
      </c>
      <c r="Y23">
        <f>IF($B23="Day",8,7)-Work_Off!Y23/Work_Total!$C23</f>
        <v>7</v>
      </c>
      <c r="Z23">
        <f>IF($B23="Day",8,7)-Work_Off!Z23/Work_Total!$C23</f>
        <v>7</v>
      </c>
      <c r="AA23">
        <f>IF($B23="Day",8,7)-Work_Off!AA23/Work_Total!$C23</f>
        <v>7</v>
      </c>
      <c r="AB23">
        <f>IF($B23="Day",8,7)-Work_Off!AB23/Work_Total!$C23</f>
        <v>0</v>
      </c>
      <c r="AC23">
        <f>IF($B23="Day",8,7)-Work_Off!AC23/Work_Total!$C23</f>
        <v>0</v>
      </c>
      <c r="AD23">
        <f>IF($B23="Day",8,7)-Work_Off!AD23/Work_Total!$C23</f>
        <v>7</v>
      </c>
      <c r="AE23">
        <f>IF($B23="Day",8,7)-Work_Off!AE23/Work_Total!$C23</f>
        <v>7</v>
      </c>
      <c r="AF23">
        <f>IF($B23="Day",8,7)-Work_Off!AF23/Work_Total!$C23</f>
        <v>7</v>
      </c>
      <c r="AG23">
        <f>IF($B23="Day",8,7)-Work_Off!AG23/Work_Total!$C23</f>
        <v>7</v>
      </c>
      <c r="AH23">
        <f>IF($B23="Day",8,7)-Work_Off!AH23/Work_Total!$C23</f>
        <v>7</v>
      </c>
      <c r="AI23">
        <f>IF($B23="Day",8,7)-Work_Off!AI23/Work_Total!$C23</f>
        <v>0</v>
      </c>
      <c r="AJ23">
        <f>IF($B23="Day",8,7)-Work_Off!AJ23/Work_Total!$C23</f>
        <v>0</v>
      </c>
      <c r="AK23">
        <f>IF($B23="Day",8,7)-Work_Off!AK23/Work_Total!$C23</f>
        <v>7</v>
      </c>
      <c r="AL23">
        <f>IF($B23="Day",8,7)-Work_Off!AL23/Work_Total!$C23</f>
        <v>7</v>
      </c>
      <c r="AM23">
        <f>IF($B23="Day",8,7)-Work_Off!AM23/Work_Total!$C23</f>
        <v>7</v>
      </c>
    </row>
    <row r="24" spans="1:39" x14ac:dyDescent="0.25">
      <c r="B24" t="s">
        <v>19</v>
      </c>
      <c r="C24">
        <v>4</v>
      </c>
      <c r="J24">
        <f>IF($B24="Day",8,7)-Work_Off!J24/Work_Total!$C24</f>
        <v>7</v>
      </c>
      <c r="K24">
        <f>IF($B24="Day",8,7)-Work_Off!K24/Work_Total!$C24</f>
        <v>7</v>
      </c>
      <c r="L24">
        <f>IF($B24="Day",8,7)-Work_Off!L24/Work_Total!$C24</f>
        <v>7</v>
      </c>
      <c r="M24">
        <f>IF($B24="Day",8,7)-Work_Off!M24/Work_Total!$C24</f>
        <v>7</v>
      </c>
      <c r="N24">
        <f>IF($B24="Day",8,7)-Work_Off!N24/Work_Total!$C24</f>
        <v>0</v>
      </c>
      <c r="O24">
        <f>IF($B24="Day",8,7)-Work_Off!O24/Work_Total!$C24</f>
        <v>0</v>
      </c>
      <c r="P24">
        <f>IF($B24="Day",8,7)-Work_Off!P24/Work_Total!$C24</f>
        <v>7</v>
      </c>
      <c r="Q24">
        <f>IF($B24="Day",8,7)-Work_Off!Q24/Work_Total!$C24</f>
        <v>7</v>
      </c>
      <c r="R24">
        <f>IF($B24="Day",8,7)-Work_Off!R24/Work_Total!$C24</f>
        <v>7</v>
      </c>
      <c r="S24">
        <f>IF($B24="Day",8,7)-Work_Off!S24/Work_Total!$C24</f>
        <v>7</v>
      </c>
      <c r="T24">
        <f>IF($B24="Day",8,7)-Work_Off!T24/Work_Total!$C24</f>
        <v>7</v>
      </c>
      <c r="U24">
        <f>IF($B24="Day",8,7)-Work_Off!U24/Work_Total!$C24</f>
        <v>7</v>
      </c>
      <c r="V24">
        <f>IF($B24="Day",8,7)-Work_Off!V24/Work_Total!$C24</f>
        <v>7</v>
      </c>
      <c r="W24">
        <f>IF($B24="Day",8,7)-Work_Off!W24/Work_Total!$C24</f>
        <v>7</v>
      </c>
      <c r="X24">
        <f>IF($B24="Day",8,7)-Work_Off!X24/Work_Total!$C24</f>
        <v>7</v>
      </c>
      <c r="Y24">
        <f>IF($B24="Day",8,7)-Work_Off!Y24/Work_Total!$C24</f>
        <v>7</v>
      </c>
      <c r="Z24">
        <f>IF($B24="Day",8,7)-Work_Off!Z24/Work_Total!$C24</f>
        <v>7</v>
      </c>
      <c r="AA24">
        <f>IF($B24="Day",8,7)-Work_Off!AA24/Work_Total!$C24</f>
        <v>7</v>
      </c>
      <c r="AB24">
        <f>IF($B24="Day",8,7)-Work_Off!AB24/Work_Total!$C24</f>
        <v>0</v>
      </c>
      <c r="AC24">
        <f>IF($B24="Day",8,7)-Work_Off!AC24/Work_Total!$C24</f>
        <v>0</v>
      </c>
      <c r="AD24">
        <f>IF($B24="Day",8,7)-Work_Off!AD24/Work_Total!$C24</f>
        <v>7</v>
      </c>
      <c r="AE24">
        <f>IF($B24="Day",8,7)-Work_Off!AE24/Work_Total!$C24</f>
        <v>7</v>
      </c>
      <c r="AF24">
        <f>IF($B24="Day",8,7)-Work_Off!AF24/Work_Total!$C24</f>
        <v>7</v>
      </c>
      <c r="AG24">
        <f>IF($B24="Day",8,7)-Work_Off!AG24/Work_Total!$C24</f>
        <v>7</v>
      </c>
      <c r="AH24">
        <f>IF($B24="Day",8,7)-Work_Off!AH24/Work_Total!$C24</f>
        <v>7</v>
      </c>
      <c r="AI24">
        <f>IF($B24="Day",8,7)-Work_Off!AI24/Work_Total!$C24</f>
        <v>0</v>
      </c>
      <c r="AJ24">
        <f>IF($B24="Day",8,7)-Work_Off!AJ24/Work_Total!$C24</f>
        <v>0</v>
      </c>
      <c r="AK24">
        <f>IF($B24="Day",8,7)-Work_Off!AK24/Work_Total!$C24</f>
        <v>7</v>
      </c>
      <c r="AL24">
        <f>IF($B24="Day",8,7)-Work_Off!AL24/Work_Total!$C24</f>
        <v>7</v>
      </c>
      <c r="AM24">
        <f>IF($B24="Day",8,7)-Work_Off!AM24/Work_Total!$C24</f>
        <v>7</v>
      </c>
    </row>
    <row r="25" spans="1:39" x14ac:dyDescent="0.25">
      <c r="A25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65FB9-0A82-4F6E-95B5-90A8A06AD5FB}">
  <sheetPr codeName="Sheet5"/>
  <dimension ref="A1:AM15"/>
  <sheetViews>
    <sheetView workbookViewId="0">
      <selection activeCell="K17" sqref="K17"/>
    </sheetView>
  </sheetViews>
  <sheetFormatPr defaultRowHeight="15" x14ac:dyDescent="0.25"/>
  <cols>
    <col min="1" max="1" width="11.28515625" bestFit="1" customWidth="1"/>
    <col min="2" max="2" width="10.42578125" bestFit="1" customWidth="1"/>
    <col min="3" max="3" width="3" bestFit="1" customWidth="1"/>
    <col min="4" max="9" width="10.7109375" hidden="1" customWidth="1"/>
    <col min="10" max="33" width="10.85546875" bestFit="1" customWidth="1"/>
    <col min="34" max="39" width="10.7109375" bestFit="1" customWidth="1"/>
  </cols>
  <sheetData>
    <row r="1" spans="1:39" x14ac:dyDescent="0.25">
      <c r="A1" s="2" t="s">
        <v>22</v>
      </c>
      <c r="B1" s="3">
        <v>46266</v>
      </c>
      <c r="C1" s="3"/>
    </row>
    <row r="3" spans="1:39" x14ac:dyDescent="0.25">
      <c r="J3" s="4">
        <v>46266</v>
      </c>
      <c r="K3" s="4">
        <v>46267</v>
      </c>
      <c r="L3" s="4">
        <v>46268</v>
      </c>
      <c r="M3" s="4">
        <v>46269</v>
      </c>
      <c r="N3" s="4">
        <v>46270</v>
      </c>
      <c r="O3" s="4">
        <v>46271</v>
      </c>
      <c r="P3" s="4">
        <v>46272</v>
      </c>
      <c r="Q3" s="4">
        <v>46273</v>
      </c>
      <c r="R3" s="4">
        <v>46274</v>
      </c>
      <c r="S3" s="4">
        <v>46275</v>
      </c>
      <c r="T3" s="4">
        <v>46276</v>
      </c>
      <c r="U3" s="4">
        <v>46277</v>
      </c>
      <c r="V3" s="4">
        <v>46278</v>
      </c>
      <c r="W3" s="4">
        <v>46279</v>
      </c>
      <c r="X3" s="4">
        <v>46280</v>
      </c>
      <c r="Y3" s="4">
        <v>46281</v>
      </c>
      <c r="Z3" s="4">
        <v>46282</v>
      </c>
      <c r="AA3" s="4">
        <v>46283</v>
      </c>
      <c r="AB3" s="4">
        <v>46284</v>
      </c>
      <c r="AC3" s="4">
        <v>46285</v>
      </c>
      <c r="AD3" s="4">
        <v>46286</v>
      </c>
      <c r="AE3" s="4">
        <v>46287</v>
      </c>
      <c r="AF3" s="4">
        <v>46288</v>
      </c>
      <c r="AG3" s="4">
        <v>46289</v>
      </c>
      <c r="AH3" s="4">
        <v>46290</v>
      </c>
      <c r="AI3" s="4">
        <v>46291</v>
      </c>
      <c r="AJ3" s="4">
        <v>46292</v>
      </c>
      <c r="AK3" s="4">
        <v>46293</v>
      </c>
      <c r="AL3" s="4">
        <v>46294</v>
      </c>
      <c r="AM3" s="4">
        <v>46295</v>
      </c>
    </row>
    <row r="4" spans="1:39" x14ac:dyDescent="0.25">
      <c r="J4" t="str">
        <f>TEXT(J3,"ddd")</f>
        <v>T3</v>
      </c>
      <c r="K4" t="str">
        <f t="shared" ref="K4:AM4" si="0">TEXT(K3,"ddd")</f>
        <v>T4</v>
      </c>
      <c r="L4" t="str">
        <f t="shared" si="0"/>
        <v>T5</v>
      </c>
      <c r="M4" t="str">
        <f t="shared" si="0"/>
        <v>T6</v>
      </c>
      <c r="N4" t="str">
        <f t="shared" si="0"/>
        <v>T7</v>
      </c>
      <c r="O4" t="str">
        <f t="shared" si="0"/>
        <v>CN</v>
      </c>
      <c r="P4" t="str">
        <f t="shared" si="0"/>
        <v>T2</v>
      </c>
      <c r="Q4" t="str">
        <f t="shared" si="0"/>
        <v>T3</v>
      </c>
      <c r="R4" t="str">
        <f t="shared" si="0"/>
        <v>T4</v>
      </c>
      <c r="S4" t="str">
        <f t="shared" si="0"/>
        <v>T5</v>
      </c>
      <c r="T4" t="str">
        <f t="shared" si="0"/>
        <v>T6</v>
      </c>
      <c r="U4" t="str">
        <f t="shared" si="0"/>
        <v>T7</v>
      </c>
      <c r="V4" t="str">
        <f t="shared" si="0"/>
        <v>CN</v>
      </c>
      <c r="W4" t="str">
        <f t="shared" si="0"/>
        <v>T2</v>
      </c>
      <c r="X4" t="str">
        <f t="shared" si="0"/>
        <v>T3</v>
      </c>
      <c r="Y4" t="str">
        <f t="shared" si="0"/>
        <v>T4</v>
      </c>
      <c r="Z4" t="str">
        <f t="shared" si="0"/>
        <v>T5</v>
      </c>
      <c r="AA4" t="str">
        <f t="shared" si="0"/>
        <v>T6</v>
      </c>
      <c r="AB4" t="str">
        <f t="shared" si="0"/>
        <v>T7</v>
      </c>
      <c r="AC4" t="str">
        <f t="shared" si="0"/>
        <v>CN</v>
      </c>
      <c r="AD4" t="str">
        <f t="shared" si="0"/>
        <v>T2</v>
      </c>
      <c r="AE4" t="str">
        <f t="shared" si="0"/>
        <v>T3</v>
      </c>
      <c r="AF4" t="str">
        <f t="shared" si="0"/>
        <v>T4</v>
      </c>
      <c r="AG4" t="str">
        <f t="shared" si="0"/>
        <v>T5</v>
      </c>
      <c r="AH4" t="str">
        <f t="shared" si="0"/>
        <v>T6</v>
      </c>
      <c r="AI4" t="str">
        <f t="shared" si="0"/>
        <v>T7</v>
      </c>
      <c r="AJ4" t="str">
        <f t="shared" si="0"/>
        <v>CN</v>
      </c>
      <c r="AK4" t="str">
        <f t="shared" si="0"/>
        <v>T2</v>
      </c>
      <c r="AL4" t="str">
        <f t="shared" si="0"/>
        <v>T3</v>
      </c>
      <c r="AM4" t="str">
        <f t="shared" si="0"/>
        <v>T4</v>
      </c>
    </row>
    <row r="5" spans="1:39" x14ac:dyDescent="0.25">
      <c r="A5" t="s">
        <v>3</v>
      </c>
      <c r="B5" t="s">
        <v>17</v>
      </c>
      <c r="C5">
        <v>5</v>
      </c>
      <c r="J5">
        <f>4-OT_Off!J5/$C5</f>
        <v>4</v>
      </c>
      <c r="K5">
        <f>4-OT_Off!K5/$C5</f>
        <v>4</v>
      </c>
      <c r="L5">
        <f>4-OT_Off!L5/$C5</f>
        <v>4</v>
      </c>
      <c r="M5">
        <f>4-OT_Off!M5/$C5</f>
        <v>4</v>
      </c>
      <c r="N5">
        <f>4-OT_Off!N5/$C5</f>
        <v>0</v>
      </c>
      <c r="O5">
        <f>4-OT_Off!O5/$C5</f>
        <v>0</v>
      </c>
      <c r="P5">
        <f>4-OT_Off!P5/$C5</f>
        <v>4</v>
      </c>
      <c r="Q5">
        <f>4-OT_Off!Q5/$C5</f>
        <v>4</v>
      </c>
      <c r="R5">
        <f>4-OT_Off!R5/$C5</f>
        <v>4</v>
      </c>
      <c r="S5">
        <f>4-OT_Off!S5/$C5</f>
        <v>4</v>
      </c>
      <c r="T5">
        <f>4-OT_Off!T5/$C5</f>
        <v>4</v>
      </c>
      <c r="U5">
        <f>4-OT_Off!U5/$C5</f>
        <v>0</v>
      </c>
      <c r="V5">
        <f>4-OT_Off!V5/$C5</f>
        <v>0</v>
      </c>
      <c r="W5">
        <f>4-OT_Off!W5/$C5</f>
        <v>4</v>
      </c>
      <c r="X5">
        <f>4-OT_Off!X5/$C5</f>
        <v>4</v>
      </c>
      <c r="Y5">
        <f>4-OT_Off!Y5/$C5</f>
        <v>4</v>
      </c>
      <c r="Z5">
        <f>4-OT_Off!Z5/$C5</f>
        <v>4</v>
      </c>
      <c r="AA5">
        <f>4-OT_Off!AA5/$C5</f>
        <v>4</v>
      </c>
      <c r="AB5">
        <f>4-OT_Off!AB5/$C5</f>
        <v>0</v>
      </c>
      <c r="AC5">
        <f>4-OT_Off!AC5/$C5</f>
        <v>0</v>
      </c>
      <c r="AD5">
        <f>4-OT_Off!AD5/$C5</f>
        <v>4</v>
      </c>
      <c r="AE5">
        <f>4-OT_Off!AE5/$C5</f>
        <v>4</v>
      </c>
      <c r="AF5">
        <f>4-OT_Off!AF5/$C5</f>
        <v>4</v>
      </c>
      <c r="AG5">
        <f>4-OT_Off!AG5/$C5</f>
        <v>4</v>
      </c>
      <c r="AH5">
        <f>4-OT_Off!AH5/$C5</f>
        <v>4</v>
      </c>
      <c r="AI5">
        <f>4-OT_Off!AI5/$C5</f>
        <v>0</v>
      </c>
      <c r="AJ5">
        <f>4-OT_Off!AJ5/$C5</f>
        <v>0</v>
      </c>
      <c r="AK5">
        <f>4-OT_Off!AK5/$C5</f>
        <v>4</v>
      </c>
      <c r="AL5">
        <f>4-OT_Off!AL5/$C5</f>
        <v>4</v>
      </c>
      <c r="AM5">
        <f>4-OT_Off!AM5/$C5</f>
        <v>4</v>
      </c>
    </row>
    <row r="6" spans="1:39" x14ac:dyDescent="0.25">
      <c r="A6" t="s">
        <v>4</v>
      </c>
      <c r="B6" t="s">
        <v>17</v>
      </c>
      <c r="C6">
        <v>5</v>
      </c>
      <c r="J6">
        <f>4-OT_Off!J6/$C6</f>
        <v>4</v>
      </c>
      <c r="K6">
        <f>4-OT_Off!K6/$C6</f>
        <v>4</v>
      </c>
      <c r="L6">
        <f>4-OT_Off!L6/$C6</f>
        <v>4</v>
      </c>
      <c r="M6">
        <f>4-OT_Off!M6/$C6</f>
        <v>4</v>
      </c>
      <c r="N6">
        <f>4-OT_Off!N6/$C6</f>
        <v>0</v>
      </c>
      <c r="O6">
        <f>4-OT_Off!O6/$C6</f>
        <v>0</v>
      </c>
      <c r="P6">
        <f>4-OT_Off!P6/$C6</f>
        <v>4</v>
      </c>
      <c r="Q6">
        <f>4-OT_Off!Q6/$C6</f>
        <v>4</v>
      </c>
      <c r="R6">
        <f>4-OT_Off!R6/$C6</f>
        <v>4</v>
      </c>
      <c r="S6">
        <f>4-OT_Off!S6/$C6</f>
        <v>4</v>
      </c>
      <c r="T6">
        <f>4-OT_Off!T6/$C6</f>
        <v>4</v>
      </c>
      <c r="U6">
        <f>4-OT_Off!U6/$C6</f>
        <v>0</v>
      </c>
      <c r="V6">
        <f>4-OT_Off!V6/$C6</f>
        <v>0</v>
      </c>
      <c r="W6">
        <f>4-OT_Off!W6/$C6</f>
        <v>4</v>
      </c>
      <c r="X6">
        <f>4-OT_Off!X6/$C6</f>
        <v>4</v>
      </c>
      <c r="Y6">
        <f>4-OT_Off!Y6/$C6</f>
        <v>4</v>
      </c>
      <c r="Z6">
        <f>4-OT_Off!Z6/$C6</f>
        <v>4</v>
      </c>
      <c r="AA6">
        <f>4-OT_Off!AA6/$C6</f>
        <v>4</v>
      </c>
      <c r="AB6">
        <f>4-OT_Off!AB6/$C6</f>
        <v>0</v>
      </c>
      <c r="AC6">
        <f>4-OT_Off!AC6/$C6</f>
        <v>0</v>
      </c>
      <c r="AD6">
        <f>4-OT_Off!AD6/$C6</f>
        <v>4</v>
      </c>
      <c r="AE6">
        <f>4-OT_Off!AE6/$C6</f>
        <v>4</v>
      </c>
      <c r="AF6">
        <f>4-OT_Off!AF6/$C6</f>
        <v>4</v>
      </c>
      <c r="AG6">
        <f>4-OT_Off!AG6/$C6</f>
        <v>4</v>
      </c>
      <c r="AH6">
        <f>4-OT_Off!AH6/$C6</f>
        <v>4</v>
      </c>
      <c r="AI6">
        <f>4-OT_Off!AI6/$C6</f>
        <v>0</v>
      </c>
      <c r="AJ6">
        <f>4-OT_Off!AJ6/$C6</f>
        <v>0</v>
      </c>
      <c r="AK6">
        <f>4-OT_Off!AK6/$C6</f>
        <v>4</v>
      </c>
      <c r="AL6">
        <f>4-OT_Off!AL6/$C6</f>
        <v>4</v>
      </c>
      <c r="AM6">
        <f>4-OT_Off!AM6/$C6</f>
        <v>4</v>
      </c>
    </row>
    <row r="7" spans="1:39" x14ac:dyDescent="0.25">
      <c r="A7" t="s">
        <v>6</v>
      </c>
      <c r="B7" t="s">
        <v>17</v>
      </c>
      <c r="C7">
        <v>30</v>
      </c>
      <c r="J7">
        <f>4-OT_Off!J7/$C7</f>
        <v>4</v>
      </c>
      <c r="K7">
        <f>4-OT_Off!K7/$C7</f>
        <v>4</v>
      </c>
      <c r="L7">
        <f>4-OT_Off!L7/$C7</f>
        <v>4</v>
      </c>
      <c r="M7">
        <f>4-OT_Off!M7/$C7</f>
        <v>4</v>
      </c>
      <c r="N7">
        <f>4-OT_Off!N7/$C7</f>
        <v>0</v>
      </c>
      <c r="O7">
        <f>4-OT_Off!O7/$C7</f>
        <v>0</v>
      </c>
      <c r="P7">
        <f>4-OT_Off!P7/$C7</f>
        <v>4</v>
      </c>
      <c r="Q7">
        <f>4-OT_Off!Q7/$C7</f>
        <v>4</v>
      </c>
      <c r="R7">
        <f>4-OT_Off!R7/$C7</f>
        <v>4</v>
      </c>
      <c r="S7">
        <f>4-OT_Off!S7/$C7</f>
        <v>4</v>
      </c>
      <c r="T7">
        <f>4-OT_Off!T7/$C7</f>
        <v>4</v>
      </c>
      <c r="U7">
        <f>4-OT_Off!U7/$C7</f>
        <v>0</v>
      </c>
      <c r="V7">
        <f>4-OT_Off!V7/$C7</f>
        <v>0</v>
      </c>
      <c r="W7">
        <f>4-OT_Off!W7/$C7</f>
        <v>4</v>
      </c>
      <c r="X7">
        <f>4-OT_Off!X7/$C7</f>
        <v>4</v>
      </c>
      <c r="Y7">
        <f>4-OT_Off!Y7/$C7</f>
        <v>4</v>
      </c>
      <c r="Z7">
        <f>4-OT_Off!Z7/$C7</f>
        <v>4</v>
      </c>
      <c r="AA7">
        <f>4-OT_Off!AA7/$C7</f>
        <v>4</v>
      </c>
      <c r="AB7">
        <f>4-OT_Off!AB7/$C7</f>
        <v>0</v>
      </c>
      <c r="AC7">
        <f>4-OT_Off!AC7/$C7</f>
        <v>0</v>
      </c>
      <c r="AD7">
        <f>4-OT_Off!AD7/$C7</f>
        <v>4</v>
      </c>
      <c r="AE7">
        <f>4-OT_Off!AE7/$C7</f>
        <v>4</v>
      </c>
      <c r="AF7">
        <f>4-OT_Off!AF7/$C7</f>
        <v>4</v>
      </c>
      <c r="AG7">
        <f>4-OT_Off!AG7/$C7</f>
        <v>4</v>
      </c>
      <c r="AH7">
        <f>4-OT_Off!AH7/$C7</f>
        <v>4</v>
      </c>
      <c r="AI7">
        <f>4-OT_Off!AI7/$C7</f>
        <v>0</v>
      </c>
      <c r="AJ7">
        <f>4-OT_Off!AJ7/$C7</f>
        <v>0</v>
      </c>
      <c r="AK7">
        <f>4-OT_Off!AK7/$C7</f>
        <v>4</v>
      </c>
      <c r="AL7">
        <f>4-OT_Off!AL7/$C7</f>
        <v>4</v>
      </c>
      <c r="AM7">
        <f>4-OT_Off!AM7/$C7</f>
        <v>4</v>
      </c>
    </row>
    <row r="8" spans="1:39" x14ac:dyDescent="0.25">
      <c r="A8" t="s">
        <v>16</v>
      </c>
      <c r="B8" t="s">
        <v>17</v>
      </c>
      <c r="C8">
        <v>4</v>
      </c>
      <c r="J8">
        <f>4-OT_Off!J8/$C8</f>
        <v>4</v>
      </c>
      <c r="K8">
        <f>4-OT_Off!K8/$C8</f>
        <v>4</v>
      </c>
      <c r="L8">
        <f>4-OT_Off!L8/$C8</f>
        <v>4</v>
      </c>
      <c r="M8">
        <f>4-OT_Off!M8/$C8</f>
        <v>4</v>
      </c>
      <c r="N8">
        <f>4-OT_Off!N8/$C8</f>
        <v>0</v>
      </c>
      <c r="O8">
        <f>4-OT_Off!O8/$C8</f>
        <v>0</v>
      </c>
      <c r="P8">
        <f>4-OT_Off!P8/$C8</f>
        <v>4</v>
      </c>
      <c r="Q8">
        <f>4-OT_Off!Q8/$C8</f>
        <v>4</v>
      </c>
      <c r="R8">
        <f>4-OT_Off!R8/$C8</f>
        <v>4</v>
      </c>
      <c r="S8">
        <f>4-OT_Off!S8/$C8</f>
        <v>4</v>
      </c>
      <c r="T8">
        <f>4-OT_Off!T8/$C8</f>
        <v>4</v>
      </c>
      <c r="U8">
        <f>4-OT_Off!U8/$C8</f>
        <v>0</v>
      </c>
      <c r="V8">
        <f>4-OT_Off!V8/$C8</f>
        <v>0</v>
      </c>
      <c r="W8">
        <f>4-OT_Off!W8/$C8</f>
        <v>4</v>
      </c>
      <c r="X8">
        <f>4-OT_Off!X8/$C8</f>
        <v>4</v>
      </c>
      <c r="Y8">
        <f>4-OT_Off!Y8/$C8</f>
        <v>4</v>
      </c>
      <c r="Z8">
        <f>4-OT_Off!Z8/$C8</f>
        <v>4</v>
      </c>
      <c r="AA8">
        <f>4-OT_Off!AA8/$C8</f>
        <v>4</v>
      </c>
      <c r="AB8">
        <f>4-OT_Off!AB8/$C8</f>
        <v>0</v>
      </c>
      <c r="AC8">
        <f>4-OT_Off!AC8/$C8</f>
        <v>0</v>
      </c>
      <c r="AD8">
        <f>4-OT_Off!AD8/$C8</f>
        <v>4</v>
      </c>
      <c r="AE8">
        <f>4-OT_Off!AE8/$C8</f>
        <v>4</v>
      </c>
      <c r="AF8">
        <f>4-OT_Off!AF8/$C8</f>
        <v>4</v>
      </c>
      <c r="AG8">
        <f>4-OT_Off!AG8/$C8</f>
        <v>4</v>
      </c>
      <c r="AH8">
        <f>4-OT_Off!AH8/$C8</f>
        <v>4</v>
      </c>
      <c r="AI8">
        <f>4-OT_Off!AI8/$C8</f>
        <v>0</v>
      </c>
      <c r="AJ8">
        <f>4-OT_Off!AJ8/$C8</f>
        <v>0</v>
      </c>
      <c r="AK8">
        <f>4-OT_Off!AK8/$C8</f>
        <v>4</v>
      </c>
      <c r="AL8">
        <f>4-OT_Off!AL8/$C8</f>
        <v>4</v>
      </c>
      <c r="AM8">
        <f>4-OT_Off!AM8/$C8</f>
        <v>4</v>
      </c>
    </row>
    <row r="9" spans="1:39" x14ac:dyDescent="0.25">
      <c r="A9" t="s">
        <v>1</v>
      </c>
      <c r="B9" t="s">
        <v>17</v>
      </c>
      <c r="C9">
        <v>5</v>
      </c>
      <c r="J9">
        <f>4-OT_Off!J9/$C9</f>
        <v>4</v>
      </c>
      <c r="K9">
        <f>4-OT_Off!K9/$C9</f>
        <v>4</v>
      </c>
      <c r="L9">
        <f>4-OT_Off!L9/$C9</f>
        <v>4</v>
      </c>
      <c r="M9">
        <f>4-OT_Off!M9/$C9</f>
        <v>4</v>
      </c>
      <c r="N9">
        <f>4-OT_Off!N9/$C9</f>
        <v>0</v>
      </c>
      <c r="O9">
        <f>4-OT_Off!O9/$C9</f>
        <v>0</v>
      </c>
      <c r="P9">
        <f>4-OT_Off!P9/$C9</f>
        <v>4</v>
      </c>
      <c r="Q9">
        <f>4-OT_Off!Q9/$C9</f>
        <v>4</v>
      </c>
      <c r="R9">
        <f>4-OT_Off!R9/$C9</f>
        <v>4</v>
      </c>
      <c r="S9">
        <f>4-OT_Off!S9/$C9</f>
        <v>4</v>
      </c>
      <c r="T9">
        <f>4-OT_Off!T9/$C9</f>
        <v>4</v>
      </c>
      <c r="U9">
        <f>4-OT_Off!U9/$C9</f>
        <v>0</v>
      </c>
      <c r="V9">
        <f>4-OT_Off!V9/$C9</f>
        <v>0</v>
      </c>
      <c r="W9">
        <f>4-OT_Off!W9/$C9</f>
        <v>4</v>
      </c>
      <c r="X9">
        <f>4-OT_Off!X9/$C9</f>
        <v>4</v>
      </c>
      <c r="Y9">
        <f>4-OT_Off!Y9/$C9</f>
        <v>4</v>
      </c>
      <c r="Z9">
        <f>4-OT_Off!Z9/$C9</f>
        <v>4</v>
      </c>
      <c r="AA9">
        <f>4-OT_Off!AA9/$C9</f>
        <v>4</v>
      </c>
      <c r="AB9">
        <f>4-OT_Off!AB9/$C9</f>
        <v>0</v>
      </c>
      <c r="AC9">
        <f>4-OT_Off!AC9/$C9</f>
        <v>0</v>
      </c>
      <c r="AD9">
        <f>4-OT_Off!AD9/$C9</f>
        <v>4</v>
      </c>
      <c r="AE9">
        <f>4-OT_Off!AE9/$C9</f>
        <v>4</v>
      </c>
      <c r="AF9">
        <f>4-OT_Off!AF9/$C9</f>
        <v>4</v>
      </c>
      <c r="AG9">
        <f>4-OT_Off!AG9/$C9</f>
        <v>4</v>
      </c>
      <c r="AH9">
        <f>4-OT_Off!AH9/$C9</f>
        <v>4</v>
      </c>
      <c r="AI9">
        <f>4-OT_Off!AI9/$C9</f>
        <v>0</v>
      </c>
      <c r="AJ9">
        <f>4-OT_Off!AJ9/$C9</f>
        <v>0</v>
      </c>
      <c r="AK9">
        <f>4-OT_Off!AK9/$C9</f>
        <v>4</v>
      </c>
      <c r="AL9">
        <f>4-OT_Off!AL9/$C9</f>
        <v>4</v>
      </c>
      <c r="AM9">
        <f>4-OT_Off!AM9/$C9</f>
        <v>4</v>
      </c>
    </row>
    <row r="10" spans="1:39" x14ac:dyDescent="0.25">
      <c r="A10" t="s">
        <v>2</v>
      </c>
      <c r="B10" t="s">
        <v>17</v>
      </c>
      <c r="C10">
        <v>5</v>
      </c>
      <c r="J10">
        <f>4-OT_Off!J10/$C10</f>
        <v>4</v>
      </c>
      <c r="K10">
        <f>4-OT_Off!K10/$C10</f>
        <v>4</v>
      </c>
      <c r="L10">
        <f>4-OT_Off!L10/$C10</f>
        <v>4</v>
      </c>
      <c r="M10">
        <f>4-OT_Off!M10/$C10</f>
        <v>4</v>
      </c>
      <c r="N10">
        <f>4-OT_Off!N10/$C10</f>
        <v>0</v>
      </c>
      <c r="O10">
        <f>4-OT_Off!O10/$C10</f>
        <v>0</v>
      </c>
      <c r="P10">
        <f>4-OT_Off!P10/$C10</f>
        <v>4</v>
      </c>
      <c r="Q10">
        <f>4-OT_Off!Q10/$C10</f>
        <v>4</v>
      </c>
      <c r="R10">
        <f>4-OT_Off!R10/$C10</f>
        <v>4</v>
      </c>
      <c r="S10">
        <f>4-OT_Off!S10/$C10</f>
        <v>4</v>
      </c>
      <c r="T10">
        <f>4-OT_Off!T10/$C10</f>
        <v>4</v>
      </c>
      <c r="U10">
        <f>4-OT_Off!U10/$C10</f>
        <v>0</v>
      </c>
      <c r="V10">
        <f>4-OT_Off!V10/$C10</f>
        <v>0</v>
      </c>
      <c r="W10">
        <f>4-OT_Off!W10/$C10</f>
        <v>4</v>
      </c>
      <c r="X10">
        <f>4-OT_Off!X10/$C10</f>
        <v>4</v>
      </c>
      <c r="Y10">
        <f>4-OT_Off!Y10/$C10</f>
        <v>4</v>
      </c>
      <c r="Z10">
        <f>4-OT_Off!Z10/$C10</f>
        <v>4</v>
      </c>
      <c r="AA10">
        <f>4-OT_Off!AA10/$C10</f>
        <v>4</v>
      </c>
      <c r="AB10">
        <f>4-OT_Off!AB10/$C10</f>
        <v>0</v>
      </c>
      <c r="AC10">
        <f>4-OT_Off!AC10/$C10</f>
        <v>0</v>
      </c>
      <c r="AD10">
        <f>4-OT_Off!AD10/$C10</f>
        <v>4</v>
      </c>
      <c r="AE10">
        <f>4-OT_Off!AE10/$C10</f>
        <v>4</v>
      </c>
      <c r="AF10">
        <f>4-OT_Off!AF10/$C10</f>
        <v>4</v>
      </c>
      <c r="AG10">
        <f>4-OT_Off!AG10/$C10</f>
        <v>4</v>
      </c>
      <c r="AH10">
        <f>4-OT_Off!AH10/$C10</f>
        <v>4</v>
      </c>
      <c r="AI10">
        <f>4-OT_Off!AI10/$C10</f>
        <v>0</v>
      </c>
      <c r="AJ10">
        <f>4-OT_Off!AJ10/$C10</f>
        <v>0</v>
      </c>
      <c r="AK10">
        <f>4-OT_Off!AK10/$C10</f>
        <v>4</v>
      </c>
      <c r="AL10">
        <f>4-OT_Off!AL10/$C10</f>
        <v>4</v>
      </c>
      <c r="AM10">
        <f>4-OT_Off!AM10/$C10</f>
        <v>4</v>
      </c>
    </row>
    <row r="11" spans="1:39" x14ac:dyDescent="0.25">
      <c r="A11" t="s">
        <v>13</v>
      </c>
      <c r="B11" t="s">
        <v>17</v>
      </c>
      <c r="C11">
        <v>20</v>
      </c>
      <c r="J11">
        <f>4-OT_Off!J11/$C11</f>
        <v>4</v>
      </c>
      <c r="K11">
        <f>4-OT_Off!K11/$C11</f>
        <v>4</v>
      </c>
      <c r="L11">
        <f>4-OT_Off!L11/$C11</f>
        <v>4</v>
      </c>
      <c r="M11">
        <f>4-OT_Off!M11/$C11</f>
        <v>4</v>
      </c>
      <c r="N11">
        <f>4-OT_Off!N11/$C11</f>
        <v>0</v>
      </c>
      <c r="O11">
        <f>4-OT_Off!O11/$C11</f>
        <v>0</v>
      </c>
      <c r="P11">
        <f>4-OT_Off!P11/$C11</f>
        <v>4</v>
      </c>
      <c r="Q11">
        <f>4-OT_Off!Q11/$C11</f>
        <v>4</v>
      </c>
      <c r="R11">
        <f>4-OT_Off!R11/$C11</f>
        <v>4</v>
      </c>
      <c r="S11">
        <f>4-OT_Off!S11/$C11</f>
        <v>4</v>
      </c>
      <c r="T11">
        <f>4-OT_Off!T11/$C11</f>
        <v>4</v>
      </c>
      <c r="U11">
        <f>4-OT_Off!U11/$C11</f>
        <v>0</v>
      </c>
      <c r="V11">
        <f>4-OT_Off!V11/$C11</f>
        <v>0</v>
      </c>
      <c r="W11">
        <f>4-OT_Off!W11/$C11</f>
        <v>4</v>
      </c>
      <c r="X11">
        <f>4-OT_Off!X11/$C11</f>
        <v>4</v>
      </c>
      <c r="Y11">
        <f>4-OT_Off!Y11/$C11</f>
        <v>4</v>
      </c>
      <c r="Z11">
        <f>4-OT_Off!Z11/$C11</f>
        <v>4</v>
      </c>
      <c r="AA11">
        <f>4-OT_Off!AA11/$C11</f>
        <v>4</v>
      </c>
      <c r="AB11">
        <f>4-OT_Off!AB11/$C11</f>
        <v>0</v>
      </c>
      <c r="AC11">
        <f>4-OT_Off!AC11/$C11</f>
        <v>0</v>
      </c>
      <c r="AD11">
        <f>4-OT_Off!AD11/$C11</f>
        <v>4</v>
      </c>
      <c r="AE11">
        <f>4-OT_Off!AE11/$C11</f>
        <v>4</v>
      </c>
      <c r="AF11">
        <f>4-OT_Off!AF11/$C11</f>
        <v>4</v>
      </c>
      <c r="AG11">
        <f>4-OT_Off!AG11/$C11</f>
        <v>4</v>
      </c>
      <c r="AH11">
        <f>4-OT_Off!AH11/$C11</f>
        <v>4</v>
      </c>
      <c r="AI11">
        <f>4-OT_Off!AI11/$C11</f>
        <v>0</v>
      </c>
      <c r="AJ11">
        <f>4-OT_Off!AJ11/$C11</f>
        <v>0</v>
      </c>
      <c r="AK11">
        <f>4-OT_Off!AK11/$C11</f>
        <v>4</v>
      </c>
      <c r="AL11">
        <f>4-OT_Off!AL11/$C11</f>
        <v>4</v>
      </c>
      <c r="AM11">
        <f>4-OT_Off!AM11/$C11</f>
        <v>4</v>
      </c>
    </row>
    <row r="12" spans="1:39" x14ac:dyDescent="0.25">
      <c r="A12" t="s">
        <v>9</v>
      </c>
      <c r="B12" t="s">
        <v>17</v>
      </c>
      <c r="C12">
        <v>8</v>
      </c>
      <c r="J12">
        <f>4-OT_Off!J12/$C12</f>
        <v>4</v>
      </c>
      <c r="K12">
        <f>4-OT_Off!K12/$C12</f>
        <v>4</v>
      </c>
      <c r="L12">
        <f>4-OT_Off!L12/$C12</f>
        <v>4</v>
      </c>
      <c r="M12">
        <f>4-OT_Off!M12/$C12</f>
        <v>4</v>
      </c>
      <c r="N12">
        <f>4-OT_Off!N12/$C12</f>
        <v>0</v>
      </c>
      <c r="O12">
        <f>4-OT_Off!O12/$C12</f>
        <v>0</v>
      </c>
      <c r="P12">
        <f>4-OT_Off!P12/$C12</f>
        <v>4</v>
      </c>
      <c r="Q12">
        <f>4-OT_Off!Q12/$C12</f>
        <v>4</v>
      </c>
      <c r="R12">
        <f>4-OT_Off!R12/$C12</f>
        <v>4</v>
      </c>
      <c r="S12">
        <f>4-OT_Off!S12/$C12</f>
        <v>4</v>
      </c>
      <c r="T12">
        <f>4-OT_Off!T12/$C12</f>
        <v>4</v>
      </c>
      <c r="U12">
        <f>4-OT_Off!U12/$C12</f>
        <v>0</v>
      </c>
      <c r="V12">
        <f>4-OT_Off!V12/$C12</f>
        <v>0</v>
      </c>
      <c r="W12">
        <f>4-OT_Off!W12/$C12</f>
        <v>4</v>
      </c>
      <c r="X12">
        <f>4-OT_Off!X12/$C12</f>
        <v>4</v>
      </c>
      <c r="Y12">
        <f>4-OT_Off!Y12/$C12</f>
        <v>4</v>
      </c>
      <c r="Z12">
        <f>4-OT_Off!Z12/$C12</f>
        <v>4</v>
      </c>
      <c r="AA12">
        <f>4-OT_Off!AA12/$C12</f>
        <v>4</v>
      </c>
      <c r="AB12">
        <f>4-OT_Off!AB12/$C12</f>
        <v>0</v>
      </c>
      <c r="AC12">
        <f>4-OT_Off!AC12/$C12</f>
        <v>0</v>
      </c>
      <c r="AD12">
        <f>4-OT_Off!AD12/$C12</f>
        <v>4</v>
      </c>
      <c r="AE12">
        <f>4-OT_Off!AE12/$C12</f>
        <v>4</v>
      </c>
      <c r="AF12">
        <f>4-OT_Off!AF12/$C12</f>
        <v>4</v>
      </c>
      <c r="AG12">
        <f>4-OT_Off!AG12/$C12</f>
        <v>4</v>
      </c>
      <c r="AH12">
        <f>4-OT_Off!AH12/$C12</f>
        <v>4</v>
      </c>
      <c r="AI12">
        <f>4-OT_Off!AI12/$C12</f>
        <v>0</v>
      </c>
      <c r="AJ12">
        <f>4-OT_Off!AJ12/$C12</f>
        <v>0</v>
      </c>
      <c r="AK12">
        <f>4-OT_Off!AK12/$C12</f>
        <v>4</v>
      </c>
      <c r="AL12">
        <f>4-OT_Off!AL12/$C12</f>
        <v>4</v>
      </c>
      <c r="AM12">
        <f>4-OT_Off!AM12/$C12</f>
        <v>4</v>
      </c>
    </row>
    <row r="13" spans="1:39" x14ac:dyDescent="0.25">
      <c r="A13" t="s">
        <v>10</v>
      </c>
      <c r="B13" t="s">
        <v>17</v>
      </c>
      <c r="C13">
        <v>8</v>
      </c>
      <c r="J13">
        <f>4-OT_Off!J13/$C13</f>
        <v>4</v>
      </c>
      <c r="K13">
        <f>4-OT_Off!K13/$C13</f>
        <v>4</v>
      </c>
      <c r="L13">
        <f>4-OT_Off!L13/$C13</f>
        <v>4</v>
      </c>
      <c r="M13">
        <f>4-OT_Off!M13/$C13</f>
        <v>4</v>
      </c>
      <c r="N13">
        <f>4-OT_Off!N13/$C13</f>
        <v>0</v>
      </c>
      <c r="O13">
        <f>4-OT_Off!O13/$C13</f>
        <v>0</v>
      </c>
      <c r="P13">
        <f>4-OT_Off!P13/$C13</f>
        <v>4</v>
      </c>
      <c r="Q13">
        <f>4-OT_Off!Q13/$C13</f>
        <v>4</v>
      </c>
      <c r="R13">
        <f>4-OT_Off!R13/$C13</f>
        <v>4</v>
      </c>
      <c r="S13">
        <f>4-OT_Off!S13/$C13</f>
        <v>4</v>
      </c>
      <c r="T13">
        <f>4-OT_Off!T13/$C13</f>
        <v>4</v>
      </c>
      <c r="U13">
        <f>4-OT_Off!U13/$C13</f>
        <v>0</v>
      </c>
      <c r="V13">
        <f>4-OT_Off!V13/$C13</f>
        <v>0</v>
      </c>
      <c r="W13">
        <f>4-OT_Off!W13/$C13</f>
        <v>4</v>
      </c>
      <c r="X13">
        <f>4-OT_Off!X13/$C13</f>
        <v>4</v>
      </c>
      <c r="Y13">
        <f>4-OT_Off!Y13/$C13</f>
        <v>4</v>
      </c>
      <c r="Z13">
        <f>4-OT_Off!Z13/$C13</f>
        <v>4</v>
      </c>
      <c r="AA13">
        <f>4-OT_Off!AA13/$C13</f>
        <v>4</v>
      </c>
      <c r="AB13">
        <f>4-OT_Off!AB13/$C13</f>
        <v>0</v>
      </c>
      <c r="AC13">
        <f>4-OT_Off!AC13/$C13</f>
        <v>0</v>
      </c>
      <c r="AD13">
        <f>4-OT_Off!AD13/$C13</f>
        <v>4</v>
      </c>
      <c r="AE13">
        <f>4-OT_Off!AE13/$C13</f>
        <v>4</v>
      </c>
      <c r="AF13">
        <f>4-OT_Off!AF13/$C13</f>
        <v>4</v>
      </c>
      <c r="AG13">
        <f>4-OT_Off!AG13/$C13</f>
        <v>4</v>
      </c>
      <c r="AH13">
        <f>4-OT_Off!AH13/$C13</f>
        <v>4</v>
      </c>
      <c r="AI13">
        <f>4-OT_Off!AI13/$C13</f>
        <v>0</v>
      </c>
      <c r="AJ13">
        <f>4-OT_Off!AJ13/$C13</f>
        <v>0</v>
      </c>
      <c r="AK13">
        <f>4-OT_Off!AK13/$C13</f>
        <v>4</v>
      </c>
      <c r="AL13">
        <f>4-OT_Off!AL13/$C13</f>
        <v>4</v>
      </c>
      <c r="AM13">
        <f>4-OT_Off!AM13/$C13</f>
        <v>4</v>
      </c>
    </row>
    <row r="14" spans="1:39" x14ac:dyDescent="0.25">
      <c r="A14" t="s">
        <v>11</v>
      </c>
      <c r="B14" t="s">
        <v>17</v>
      </c>
      <c r="C14">
        <v>8</v>
      </c>
      <c r="J14">
        <f>4-OT_Off!J14/$C14</f>
        <v>4</v>
      </c>
      <c r="K14">
        <f>4-OT_Off!K14/$C14</f>
        <v>4</v>
      </c>
      <c r="L14">
        <f>4-OT_Off!L14/$C14</f>
        <v>4</v>
      </c>
      <c r="M14">
        <f>4-OT_Off!M14/$C14</f>
        <v>4</v>
      </c>
      <c r="N14">
        <f>4-OT_Off!N14/$C14</f>
        <v>0</v>
      </c>
      <c r="O14">
        <f>4-OT_Off!O14/$C14</f>
        <v>0</v>
      </c>
      <c r="P14">
        <f>4-OT_Off!P14/$C14</f>
        <v>4</v>
      </c>
      <c r="Q14">
        <f>4-OT_Off!Q14/$C14</f>
        <v>4</v>
      </c>
      <c r="R14">
        <f>4-OT_Off!R14/$C14</f>
        <v>4</v>
      </c>
      <c r="S14">
        <f>4-OT_Off!S14/$C14</f>
        <v>4</v>
      </c>
      <c r="T14">
        <f>4-OT_Off!T14/$C14</f>
        <v>4</v>
      </c>
      <c r="U14">
        <f>4-OT_Off!U14/$C14</f>
        <v>0</v>
      </c>
      <c r="V14">
        <f>4-OT_Off!V14/$C14</f>
        <v>0</v>
      </c>
      <c r="W14">
        <f>4-OT_Off!W14/$C14</f>
        <v>4</v>
      </c>
      <c r="X14">
        <f>4-OT_Off!X14/$C14</f>
        <v>4</v>
      </c>
      <c r="Y14">
        <f>4-OT_Off!Y14/$C14</f>
        <v>4</v>
      </c>
      <c r="Z14">
        <f>4-OT_Off!Z14/$C14</f>
        <v>4</v>
      </c>
      <c r="AA14">
        <f>4-OT_Off!AA14/$C14</f>
        <v>4</v>
      </c>
      <c r="AB14">
        <f>4-OT_Off!AB14/$C14</f>
        <v>0</v>
      </c>
      <c r="AC14">
        <f>4-OT_Off!AC14/$C14</f>
        <v>0</v>
      </c>
      <c r="AD14">
        <f>4-OT_Off!AD14/$C14</f>
        <v>4</v>
      </c>
      <c r="AE14">
        <f>4-OT_Off!AE14/$C14</f>
        <v>4</v>
      </c>
      <c r="AF14">
        <f>4-OT_Off!AF14/$C14</f>
        <v>4</v>
      </c>
      <c r="AG14">
        <f>4-OT_Off!AG14/$C14</f>
        <v>4</v>
      </c>
      <c r="AH14">
        <f>4-OT_Off!AH14/$C14</f>
        <v>4</v>
      </c>
      <c r="AI14">
        <f>4-OT_Off!AI14/$C14</f>
        <v>0</v>
      </c>
      <c r="AJ14">
        <f>4-OT_Off!AJ14/$C14</f>
        <v>0</v>
      </c>
      <c r="AK14">
        <f>4-OT_Off!AK14/$C14</f>
        <v>4</v>
      </c>
      <c r="AL14">
        <f>4-OT_Off!AL14/$C14</f>
        <v>4</v>
      </c>
      <c r="AM14">
        <f>4-OT_Off!AM14/$C14</f>
        <v>4</v>
      </c>
    </row>
    <row r="15" spans="1:39" x14ac:dyDescent="0.25">
      <c r="A15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Shift_Data</vt:lpstr>
      <vt:lpstr>Expanded_Details</vt:lpstr>
      <vt:lpstr>Work_Off</vt:lpstr>
      <vt:lpstr>OT_Off</vt:lpstr>
      <vt:lpstr>Work_Total</vt:lpstr>
      <vt:lpstr>OT_Total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 Khánh Nguyễn</dc:creator>
  <cp:lastModifiedBy>Gia Khánh Nguyễn</cp:lastModifiedBy>
  <dcterms:created xsi:type="dcterms:W3CDTF">2026-09-02T13:13:40Z</dcterms:created>
  <dcterms:modified xsi:type="dcterms:W3CDTF">2026-09-05T05:00:03Z</dcterms:modified>
</cp:coreProperties>
</file>